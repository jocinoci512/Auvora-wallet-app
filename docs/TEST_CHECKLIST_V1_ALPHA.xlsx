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Sign-off" sheetId="2" state="visible" r:id="rId2"/>
    <sheet name="Summary" sheetId="3" state="visible" r:id="rId3"/>
  </sheets>
  <definedNames>
    <definedName name="_xlnm._FilterDatabase" localSheetId="0" hidden="1">'Checklist'!$A$1:$F$128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A6B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  <col width="55" customWidth="1" min="4" max="4"/>
    <col width="12" customWidth="1" min="5" max="5"/>
    <col width="28" customWidth="1" min="6" max="6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Test Case</t>
        </is>
      </c>
      <c r="D1" s="1" t="inlineStr">
        <is>
          <t>Expected Result</t>
        </is>
      </c>
      <c r="E1" s="1" t="inlineStr">
        <is>
          <t>Pass/Fail</t>
        </is>
      </c>
      <c r="F1" s="1" t="inlineStr">
        <is>
          <t>Notes</t>
        </is>
      </c>
    </row>
    <row r="2">
      <c r="A2" s="2" t="inlineStr">
        <is>
          <t>1. Installation</t>
        </is>
      </c>
      <c r="B2" s="2" t="inlineStr">
        <is>
          <t>INST-01</t>
        </is>
      </c>
      <c r="C2" s="2" t="inlineStr">
        <is>
          <t>Sideload canonical APK via file transfer
1. Copy auvora-wallet-1.0.0-alpha.1-arm64.apk from dist folder to phone.
2. Open file in Files/Chrome; allow Install unknown apps if prompted.
3. Confirm package installer.</t>
        </is>
      </c>
      <c r="D2" s="2" t="inlineStr">
        <is>
          <t>Installer shows Auvora Wallet / com.auvora.auvora_wallet. Install completes without package parse errors. App icon appears in launcher.</t>
        </is>
      </c>
      <c r="E2" s="2" t="inlineStr"/>
      <c r="F2" s="2" t="inlineStr"/>
    </row>
    <row r="3">
      <c r="A3" s="2" t="inlineStr">
        <is>
          <t>1. Installation</t>
        </is>
      </c>
      <c r="B3" s="2" t="inlineStr">
        <is>
          <t>INST-02</t>
        </is>
      </c>
      <c r="C3" s="2" t="inlineStr">
        <is>
          <t>Install via ADB (USB debugging)
1. Enable Developer options + USB debugging.
2. adb devices shows device authorized.
3. adb install -r the dist APK path.</t>
        </is>
      </c>
      <c r="D3" s="2" t="inlineStr">
        <is>
          <t>adb reports Success. Package com.auvora.auvora_wallet is installed/updated.</t>
        </is>
      </c>
      <c r="E3" s="2" t="inlineStr"/>
      <c r="F3" s="2" t="inlineStr"/>
    </row>
    <row r="4">
      <c r="A4" s="2" t="inlineStr">
        <is>
          <t>1. Installation</t>
        </is>
      </c>
      <c r="B4" s="2" t="inlineStr">
        <is>
          <t>INST-03</t>
        </is>
      </c>
      <c r="C4" s="2" t="inlineStr">
        <is>
          <t>Confirm versionName and versionCode
1. After install, run dumpsys package filter for versionName/versionCode OR open in-app About.</t>
        </is>
      </c>
      <c r="D4" s="2" t="inlineStr">
        <is>
          <t>versionName=1.0.0-alpha.1 and versionCode=5. About shows Version 1.0 Alpha / 1.0.0-alpha.1 / channel alpha.</t>
        </is>
      </c>
      <c r="E4" s="2" t="inlineStr"/>
      <c r="F4" s="2" t="inlineStr"/>
    </row>
    <row r="5">
      <c r="A5" s="2" t="inlineStr">
        <is>
          <t>1. Installation</t>
        </is>
      </c>
      <c r="B5" s="2" t="inlineStr">
        <is>
          <t>INST-04</t>
        </is>
      </c>
      <c r="C5" s="2" t="inlineStr">
        <is>
          <t>Cold launch after install
1. Force-stop if needed; tap app icon from launcher.
2. Observe splash → first screen.</t>
        </is>
      </c>
      <c r="D5" s="2" t="inlineStr">
        <is>
          <t>App launches to splash then onboarding or unlock without crash. No immediate ANR dialog.</t>
        </is>
      </c>
      <c r="E5" s="2" t="inlineStr"/>
      <c r="F5" s="2" t="inlineStr"/>
    </row>
    <row r="6">
      <c r="A6" s="2" t="inlineStr">
        <is>
          <t>1. Installation</t>
        </is>
      </c>
      <c r="B6" s="2" t="inlineStr">
        <is>
          <t>INST-05</t>
        </is>
      </c>
      <c r="C6" s="2" t="inlineStr">
        <is>
          <t>Debug-signing awareness
1. Note any Play Protect / unknown-developer warnings during or after install.
2. Confirm install still proceeds when user accepts.</t>
        </is>
      </c>
      <c r="D6" s="2" t="inlineStr">
        <is>
          <t>Debug-signed APK may trigger warnings (expected for Alpha; no upload keystore). Warnings do not prevent install on tester device after user consent.</t>
        </is>
      </c>
      <c r="E6" s="2" t="inlineStr"/>
      <c r="F6" s="2" t="inlineStr"/>
    </row>
    <row r="7">
      <c r="A7" s="2" t="inlineStr">
        <is>
          <t>1. Installation</t>
        </is>
      </c>
      <c r="B7" s="2" t="inlineStr">
        <is>
          <t>INST-06</t>
        </is>
      </c>
      <c r="C7" s="2" t="inlineStr">
        <is>
          <t>arm64 device compatibility gate
1. Confirm device CPU is arm64-v8a (About phone / adb getprop ro.product.cpu.abi).
2. Install and launch.</t>
        </is>
      </c>
      <c r="D7" s="2" t="inlineStr">
        <is>
          <t>App runs on arm64. Do not Pass on 32-bit-only devices — Flutter runtime is arm64-only in this APK (other ABI folders lack libflutter.so).</t>
        </is>
      </c>
      <c r="E7" s="2" t="inlineStr"/>
      <c r="F7" s="2" t="inlineStr"/>
    </row>
    <row r="8">
      <c r="A8" s="2" t="inlineStr">
        <is>
          <t>1. Installation</t>
        </is>
      </c>
      <c r="B8" s="2" t="inlineStr">
        <is>
          <t>INST-07</t>
        </is>
      </c>
      <c r="C8" s="2" t="inlineStr">
        <is>
          <t>minSdk / OS floor
1. Confirm Android version ≥ 7.0 (API 24).
2. Attempt install on supported device.</t>
        </is>
      </c>
      <c r="D8" s="2" t="inlineStr">
        <is>
          <t>Install succeeds on API 24+. Package declares minSdk 24 / targetSdk 36.</t>
        </is>
      </c>
      <c r="E8" s="2" t="inlineStr"/>
      <c r="F8" s="2" t="inlineStr"/>
    </row>
    <row r="9">
      <c r="A9" s="2" t="inlineStr">
        <is>
          <t>1. Installation</t>
        </is>
      </c>
      <c r="B9" s="2" t="inlineStr">
        <is>
          <t>INST-08</t>
        </is>
      </c>
      <c r="C9" s="2" t="inlineStr">
        <is>
          <t>Reinstall / upgrade path
1. Install APK once; create a throwaway wallet if prompted.
2. adb install -r same APK again.
3. Relaunch.</t>
        </is>
      </c>
      <c r="D9" s="2" t="inlineStr">
        <is>
          <t>Upgrade install succeeds. App opens without wipe unless user cleared data. No duplicate-package conflict.</t>
        </is>
      </c>
      <c r="E9" s="2" t="inlineStr"/>
      <c r="F9" s="2" t="inlineStr"/>
    </row>
    <row r="10">
      <c r="A10" s="2" t="inlineStr">
        <is>
          <t>1. Installation</t>
        </is>
      </c>
      <c r="B10" s="2" t="inlineStr">
        <is>
          <t>INST-09</t>
        </is>
      </c>
      <c r="C10" s="2" t="inlineStr">
        <is>
          <t>Uninstall hygiene
1. Uninstall from system settings.
2. Confirm package gone (adb shell pm list packages | findstr auvora).</t>
        </is>
      </c>
      <c r="D10" s="2" t="inlineStr">
        <is>
          <t>Package removed. Reinstall presents fresh onboarding (local wallet data cleared with uninstall).</t>
        </is>
      </c>
      <c r="E10" s="2" t="inlineStr"/>
      <c r="F10" s="2" t="inlineStr"/>
    </row>
    <row r="11">
      <c r="A11" s="2" t="inlineStr">
        <is>
          <t>2. Onboarding</t>
        </is>
      </c>
      <c r="B11" s="2" t="inlineStr">
        <is>
          <t>ONB-01</t>
        </is>
      </c>
      <c r="C11" s="2" t="inlineStr">
        <is>
          <t>First-run welcome / intro
1. Fresh install; launch app.
2. Walk through any intro / welcome screens.</t>
        </is>
      </c>
      <c r="D11" s="2" t="inlineStr">
        <is>
          <t>Onboarding screens render; CTAs for Create and Import (or equivalent) are visible and tappable. No blank/frozen first frame after splash.</t>
        </is>
      </c>
      <c r="E11" s="2" t="inlineStr"/>
      <c r="F11" s="2" t="inlineStr"/>
    </row>
    <row r="12">
      <c r="A12" s="2" t="inlineStr">
        <is>
          <t>2. Onboarding</t>
        </is>
      </c>
      <c r="B12" s="2" t="inlineStr">
        <is>
          <t>ONB-02</t>
        </is>
      </c>
      <c r="C12" s="2" t="inlineStr">
        <is>
          <t>Alpha honesty messaging early
1. During onboarding or About accessible from early flow, look for Alpha / funding / preview messaging.</t>
        </is>
      </c>
      <c r="D12" s="2" t="inlineStr">
        <is>
          <t>User can discover that this is Version 1.0 Alpha with locked funding / preview transfers (About and/or banners). Copy does not claim live production funding.</t>
        </is>
      </c>
      <c r="E12" s="2" t="inlineStr"/>
      <c r="F12" s="2" t="inlineStr"/>
    </row>
    <row r="13">
      <c r="A13" s="2" t="inlineStr">
        <is>
          <t>2. Onboarding</t>
        </is>
      </c>
      <c r="B13" s="2" t="inlineStr">
        <is>
          <t>ONB-03</t>
        </is>
      </c>
      <c r="C13" s="2" t="inlineStr">
        <is>
          <t>Create vs Import entry points
1. From onboarding home, tap Create wallet path then back.
2. Tap Import / Restore path then back.</t>
        </is>
      </c>
      <c r="D13" s="2" t="inlineStr">
        <is>
          <t>Both journeys are reachable; Back returns without corrupting first-run state.</t>
        </is>
      </c>
      <c r="E13" s="2" t="inlineStr"/>
      <c r="F13" s="2" t="inlineStr"/>
    </row>
    <row r="14">
      <c r="A14" s="2" t="inlineStr">
        <is>
          <t>2. Onboarding</t>
        </is>
      </c>
      <c r="B14" s="2" t="inlineStr">
        <is>
          <t>ONB-04</t>
        </is>
      </c>
      <c r="C14" s="2" t="inlineStr">
        <is>
          <t>Skip / incomplete onboarding resilience
1. Start create flow; press system Back repeatedly to exit mid-flow.
2. Relaunch app.</t>
        </is>
      </c>
      <c r="D14" s="2" t="inlineStr">
        <is>
          <t>App recovers to a coherent onboarding or partial-setup state without crash. No orphan unlocked wallet without PIN if flow aborted before security setup completes.</t>
        </is>
      </c>
      <c r="E14" s="2" t="inlineStr"/>
      <c r="F14" s="2" t="inlineStr"/>
    </row>
    <row r="15">
      <c r="A15" s="2" t="inlineStr">
        <is>
          <t>2. Onboarding</t>
        </is>
      </c>
      <c r="B15" s="2" t="inlineStr">
        <is>
          <t>ONB-05</t>
        </is>
      </c>
      <c r="C15" s="2" t="inlineStr">
        <is>
          <t>Permissions prompts timing
1. Complete onboarding until first camera/biometric/notification prompt appears (or note absence).</t>
        </is>
      </c>
      <c r="D15" s="2" t="inlineStr">
        <is>
          <t>Camera/biometric/notification permissions are requested in context (scanner / biometrics / notifs), not as unexplained barrage on first paint. Deny path does not crash app.</t>
        </is>
      </c>
      <c r="E15" s="2" t="inlineStr"/>
      <c r="F15" s="2" t="inlineStr"/>
    </row>
    <row r="16">
      <c r="A16" s="2" t="inlineStr">
        <is>
          <t>3. Wallet Creation</t>
        </is>
      </c>
      <c r="B16" s="2" t="inlineStr">
        <is>
          <t>WC-01</t>
        </is>
      </c>
      <c r="C16" s="2" t="inlineStr">
        <is>
          <t>Happy path — create new wallet
1. Choose Create wallet.
2. Follow mnemonic display / confirmation if shown.
3. Set PIN (and optional biometrics).
4. Land on Home / Portfolio.</t>
        </is>
      </c>
      <c r="D16" s="2" t="inlineStr">
        <is>
          <t>Wallet is created; Home shows portfolio (preview balances OK). Secure lock is active on next cold start.</t>
        </is>
      </c>
      <c r="E16" s="2" t="inlineStr"/>
      <c r="F16" s="2" t="inlineStr"/>
    </row>
    <row r="17">
      <c r="A17" s="2" t="inlineStr">
        <is>
          <t>3. Wallet Creation</t>
        </is>
      </c>
      <c r="B17" s="2" t="inlineStr">
        <is>
          <t>WC-02</t>
        </is>
      </c>
      <c r="C17" s="2" t="inlineStr">
        <is>
          <t>Recovery phrase shown during create
1. In create flow, reach phrase reveal step.
2. Confirm phrase is shown as 12/24 words as designed.</t>
        </is>
      </c>
      <c r="D17" s="2" t="inlineStr">
        <is>
          <t>Phrase displays once in create/backup path; UI warns not to screenshot/share. Words are readable and order preserved for copy-to-paper.</t>
        </is>
      </c>
      <c r="E17" s="2" t="inlineStr"/>
      <c r="F17" s="2" t="inlineStr"/>
    </row>
    <row r="18">
      <c r="A18" s="2" t="inlineStr">
        <is>
          <t>3. Wallet Creation</t>
        </is>
      </c>
      <c r="B18" s="2" t="inlineStr">
        <is>
          <t>WC-03</t>
        </is>
      </c>
      <c r="C18" s="2" t="inlineStr">
        <is>
          <t>Phrase confirmation challenge
1. At verify step, intentionally select wrong words.
2. Then complete with correct words.</t>
        </is>
      </c>
      <c r="D18" s="2" t="inlineStr">
        <is>
          <t>Wrong selection blocks progress with clear error. Correct selection continues to PIN/security setup.</t>
        </is>
      </c>
      <c r="E18" s="2" t="inlineStr"/>
      <c r="F18" s="2" t="inlineStr"/>
    </row>
    <row r="19">
      <c r="A19" s="2" t="inlineStr">
        <is>
          <t>3. Wallet Creation</t>
        </is>
      </c>
      <c r="B19" s="2" t="inlineStr">
        <is>
          <t>WC-04</t>
        </is>
      </c>
      <c r="C19" s="2" t="inlineStr">
        <is>
          <t>PIN required before Home
1. Attempt to finish create without setting PIN if UI allows skip.
2. Otherwise complete PIN setup.</t>
        </is>
      </c>
      <c r="D19" s="2" t="inlineStr">
        <is>
          <t>Wallet cannot be left fully unlocked without intended security setup. PIN (or documented equivalent) is established before sensitive Home use.</t>
        </is>
      </c>
      <c r="E19" s="2" t="inlineStr"/>
      <c r="F19" s="2" t="inlineStr"/>
    </row>
    <row r="20">
      <c r="A20" s="2" t="inlineStr">
        <is>
          <t>3. Wallet Creation</t>
        </is>
      </c>
      <c r="B20" s="2" t="inlineStr">
        <is>
          <t>WC-05</t>
        </is>
      </c>
      <c r="C20" s="2" t="inlineStr">
        <is>
          <t>Multi-chain addresses derived (preview)
1. After create, open Receive / Account / More and note address presentation.</t>
        </is>
      </c>
      <c r="D20" s="2" t="inlineStr">
        <is>
          <t>Addresses appear for derivation preview but are redacted and funding-locked (allowFundingAddresses=false). Full QR/copy for funding remains disabled.</t>
        </is>
      </c>
      <c r="E20" s="2" t="inlineStr"/>
      <c r="F20" s="2" t="inlineStr"/>
    </row>
    <row r="21">
      <c r="A21" s="2" t="inlineStr">
        <is>
          <t>3. Wallet Creation</t>
        </is>
      </c>
      <c r="B21" s="2" t="inlineStr">
        <is>
          <t>WC-06</t>
        </is>
      </c>
      <c r="C21" s="2" t="inlineStr">
        <is>
          <t>Second create attempt blocked or controlled
1. With an existing wallet, try to create another from settings/onboarding entry if exposed.</t>
        </is>
      </c>
      <c r="D21" s="2" t="inlineStr">
        <is>
          <t>App either guides to add-account flow, warns, or prevents accidental wipe. Existing wallet remains accessible after cancel.</t>
        </is>
      </c>
      <c r="E21" s="2" t="inlineStr"/>
      <c r="F21" s="2" t="inlineStr"/>
    </row>
    <row r="22">
      <c r="A22" s="2" t="inlineStr">
        <is>
          <t>4. Wallet Import</t>
        </is>
      </c>
      <c r="B22" s="2" t="inlineStr">
        <is>
          <t>WI-01</t>
        </is>
      </c>
      <c r="C22" s="2" t="inlineStr">
        <is>
          <t>Import valid test mnemonic
1. Choose Import / Restore.
2. Enter a known TEST-ONLY mnemonic (never production funds).
3. Set PIN; reach Home.</t>
        </is>
      </c>
      <c r="D22" s="2" t="inlineStr">
        <is>
          <t>Import succeeds; wallet unlocks to Home. Preview portfolio/activity load without crash.</t>
        </is>
      </c>
      <c r="E22" s="2" t="inlineStr"/>
      <c r="F22" s="2" t="inlineStr"/>
    </row>
    <row r="23">
      <c r="A23" s="2" t="inlineStr">
        <is>
          <t>4. Wallet Import</t>
        </is>
      </c>
      <c r="B23" s="2" t="inlineStr">
        <is>
          <t>WI-02</t>
        </is>
      </c>
      <c r="C23" s="2" t="inlineStr">
        <is>
          <t>Reject invalid mnemonic
1. Enter gibberish / wrong word count / invalid checksum words.
2. Submit.</t>
        </is>
      </c>
      <c r="D23" s="2" t="inlineStr">
        <is>
          <t>Clear validation error; import does not proceed. App does not crash.</t>
        </is>
      </c>
      <c r="E23" s="2" t="inlineStr"/>
      <c r="F23" s="2" t="inlineStr"/>
    </row>
    <row r="24">
      <c r="A24" s="2" t="inlineStr">
        <is>
          <t>4. Wallet Import</t>
        </is>
      </c>
      <c r="B24" s="2" t="inlineStr">
        <is>
          <t>WI-03</t>
        </is>
      </c>
      <c r="C24" s="2" t="inlineStr">
        <is>
          <t>Partial paste / whitespace handling
1. Paste mnemonic with extra spaces or line breaks.
2. Submit.</t>
        </is>
      </c>
      <c r="D24" s="2" t="inlineStr">
        <is>
          <t>App normalizes or clearly rejects. Successful path only when words are valid.</t>
        </is>
      </c>
      <c r="E24" s="2" t="inlineStr"/>
      <c r="F24" s="2" t="inlineStr"/>
    </row>
    <row r="25">
      <c r="A25" s="2" t="inlineStr">
        <is>
          <t>4. Wallet Import</t>
        </is>
      </c>
      <c r="B25" s="2" t="inlineStr">
        <is>
          <t>WI-04</t>
        </is>
      </c>
      <c r="C25" s="2" t="inlineStr">
        <is>
          <t>Import then lock/unlock
1. Complete import + PIN.
2. Kill app; relaunch; unlock with PIN.</t>
        </is>
      </c>
      <c r="D25" s="2" t="inlineStr">
        <is>
          <t>Imported wallet persists; unlock restores same account context.</t>
        </is>
      </c>
      <c r="E25" s="2" t="inlineStr"/>
      <c r="F25" s="2" t="inlineStr"/>
    </row>
    <row r="26">
      <c r="A26" s="2" t="inlineStr">
        <is>
          <t>4. Wallet Import</t>
        </is>
      </c>
      <c r="B26" s="2" t="inlineStr">
        <is>
          <t>WI-05</t>
        </is>
      </c>
      <c r="C26" s="2" t="inlineStr">
        <is>
          <t>Funding lock after import
1. After import, open Receive.</t>
        </is>
      </c>
      <c r="D26" s="2" t="inlineStr">
        <is>
          <t>Same Alpha lock as create: funding locked message; QR/copy/share disabled; addresses redacted. Tester must not send real funds.</t>
        </is>
      </c>
      <c r="E26" s="2" t="inlineStr"/>
      <c r="F26" s="2" t="inlineStr"/>
    </row>
    <row r="27">
      <c r="A27" s="2" t="inlineStr">
        <is>
          <t>5. Portfolio</t>
        </is>
      </c>
      <c r="B27" s="2" t="inlineStr">
        <is>
          <t>PORT-01</t>
        </is>
      </c>
      <c r="C27" s="2" t="inlineStr">
        <is>
          <t>Home portfolio renders
1. Unlock to Home.
2. Observe total value, asset list, recent activity.</t>
        </is>
      </c>
      <c r="D27" s="2" t="inlineStr">
        <is>
          <t>Portfolio UI loads. Preview/simulated balances are acceptable for Alpha; no crash or endless spinner without error.</t>
        </is>
      </c>
      <c r="E27" s="2" t="inlineStr"/>
      <c r="F27" s="2" t="inlineStr"/>
    </row>
    <row r="28">
      <c r="A28" s="2" t="inlineStr">
        <is>
          <t>5. Portfolio</t>
        </is>
      </c>
      <c r="B28" s="2" t="inlineStr">
        <is>
          <t>PORT-02</t>
        </is>
      </c>
      <c r="C28" s="2" t="inlineStr">
        <is>
          <t>Pull-to-refresh / sync
1. Pull to refresh (or use refresh control).
2. Wait for completion.</t>
        </is>
      </c>
      <c r="D28" s="2" t="inlineStr">
        <is>
          <t>Refresh completes; UI returns to idle. Errors surface as banner/snackbar, not silent hang.</t>
        </is>
      </c>
      <c r="E28" s="2" t="inlineStr"/>
      <c r="F28" s="2" t="inlineStr"/>
    </row>
    <row r="29">
      <c r="A29" s="2" t="inlineStr">
        <is>
          <t>5. Portfolio</t>
        </is>
      </c>
      <c r="B29" s="2" t="inlineStr">
        <is>
          <t>PORT-03</t>
        </is>
      </c>
      <c r="C29" s="2" t="inlineStr">
        <is>
          <t>Open asset from list
1. Tap an asset row.</t>
        </is>
      </c>
      <c r="D29" s="2" t="inlineStr">
        <is>
          <t>Navigates to Asset Details without crash.</t>
        </is>
      </c>
      <c r="E29" s="2" t="inlineStr"/>
      <c r="F29" s="2" t="inlineStr"/>
    </row>
    <row r="30">
      <c r="A30" s="2" t="inlineStr">
        <is>
          <t>5. Portfolio</t>
        </is>
      </c>
      <c r="B30" s="2" t="inlineStr">
        <is>
          <t>PORT-04</t>
        </is>
      </c>
      <c r="C30" s="2" t="inlineStr">
        <is>
          <t>Activity / transaction list
1. Open Activity / recent transactions from Home.
2. Tap a transaction if any exist (or create a preview send first).</t>
        </is>
      </c>
      <c r="D30" s="2" t="inlineStr">
        <is>
          <t>List scrolls; empty state is clear if no txs. Detail opens for selected tx.</t>
        </is>
      </c>
      <c r="E30" s="2" t="inlineStr"/>
      <c r="F30" s="2" t="inlineStr"/>
    </row>
    <row r="31">
      <c r="A31" s="2" t="inlineStr">
        <is>
          <t>5. Portfolio</t>
        </is>
      </c>
      <c r="B31" s="2" t="inlineStr">
        <is>
          <t>PORT-05</t>
        </is>
      </c>
      <c r="C31" s="2" t="inlineStr">
        <is>
          <t>Search / filter if present
1. Use portfolio search or network filter if UI provides it.
2. Clear filter.</t>
        </is>
      </c>
      <c r="D31" s="2" t="inlineStr">
        <is>
          <t>Filtering updates list; clear restores full list. No crash on empty results.</t>
        </is>
      </c>
      <c r="E31" s="2" t="inlineStr"/>
      <c r="F31" s="2" t="inlineStr"/>
    </row>
    <row r="32">
      <c r="A32" s="2" t="inlineStr">
        <is>
          <t>6. Asset Details</t>
        </is>
      </c>
      <c r="B32" s="2" t="inlineStr">
        <is>
          <t>AD-01</t>
        </is>
      </c>
      <c r="C32" s="2" t="inlineStr">
        <is>
          <t>Asset detail happy path
1. Open any asset from portfolio.
2. Review balance, network, actions (Send/Receive/etc.).</t>
        </is>
      </c>
      <c r="D32" s="2" t="inlineStr">
        <is>
          <t>Detail screen shows asset identity and actions. Balance may be preview data.</t>
        </is>
      </c>
      <c r="E32" s="2" t="inlineStr"/>
      <c r="F32" s="2" t="inlineStr"/>
    </row>
    <row r="33">
      <c r="A33" s="2" t="inlineStr">
        <is>
          <t>6. Asset Details</t>
        </is>
      </c>
      <c r="B33" s="2" t="inlineStr">
        <is>
          <t>AD-02</t>
        </is>
      </c>
      <c r="C33" s="2" t="inlineStr">
        <is>
          <t>Copy address locked on detail
1. Locate Copy address control on asset detail.</t>
        </is>
      </c>
      <c r="D33" s="2" t="inlineStr">
        <is>
          <t>Control is disabled or labeled locked (e.g. Copy address (locked)). Tapping does not copy a fundable full address while allowFundingAddresses=false.</t>
        </is>
      </c>
      <c r="E33" s="2" t="inlineStr"/>
      <c r="F33" s="2" t="inlineStr"/>
    </row>
    <row r="34">
      <c r="A34" s="2" t="inlineStr">
        <is>
          <t>6. Asset Details</t>
        </is>
      </c>
      <c r="B34" s="2" t="inlineStr">
        <is>
          <t>AD-03</t>
        </is>
      </c>
      <c r="C34" s="2" t="inlineStr">
        <is>
          <t>Navigate to Send from asset
1. Tap Send on asset detail.</t>
        </is>
      </c>
      <c r="D34" s="2" t="inlineStr">
        <is>
          <t>Send flow opens pre-scoped to that asset (or asset selectable). Preview rails only.</t>
        </is>
      </c>
      <c r="E34" s="2" t="inlineStr"/>
      <c r="F34" s="2" t="inlineStr"/>
    </row>
    <row r="35">
      <c r="A35" s="2" t="inlineStr">
        <is>
          <t>6. Asset Details</t>
        </is>
      </c>
      <c r="B35" s="2" t="inlineStr">
        <is>
          <t>AD-04</t>
        </is>
      </c>
      <c r="C35" s="2" t="inlineStr">
        <is>
          <t>Navigate to Receive from asset
1. Tap Receive on asset detail.</t>
        </is>
      </c>
      <c r="D35" s="2" t="inlineStr">
        <is>
          <t>Receive opens with Alpha funding-lock messaging; QR/copy/share remain off.</t>
        </is>
      </c>
      <c r="E35" s="2" t="inlineStr"/>
      <c r="F35" s="2" t="inlineStr"/>
    </row>
    <row r="36">
      <c r="A36" s="2" t="inlineStr">
        <is>
          <t>7. Send</t>
        </is>
      </c>
      <c r="B36" s="2" t="inlineStr">
        <is>
          <t>SEND-01</t>
        </is>
      </c>
      <c r="C36" s="2" t="inlineStr">
        <is>
          <t>Preview send happy path
1. Open Send; pick asset; enter valid recipient format and amount under balance.
2. Review; confirm / authorize preview.</t>
        </is>
      </c>
      <c r="D36" s="2" t="inlineStr">
        <is>
          <t>Flow completes as on-device preview. User sees broadcast-off / preview messaging (liveBroadcastEnabled=false). No real chain broadcast.</t>
        </is>
      </c>
      <c r="E36" s="2" t="inlineStr"/>
      <c r="F36" s="2" t="inlineStr"/>
    </row>
    <row r="37">
      <c r="A37" s="2" t="inlineStr">
        <is>
          <t>7. Send</t>
        </is>
      </c>
      <c r="B37" s="2" t="inlineStr">
        <is>
          <t>SEND-02</t>
        </is>
      </c>
      <c r="C37" s="2" t="inlineStr">
        <is>
          <t>Insufficient balance validation
1. Enter amount larger than available balance.
2. Attempt continue.</t>
        </is>
      </c>
      <c r="D37" s="2" t="inlineStr">
        <is>
          <t>Clear validation blocks submit. No crash.</t>
        </is>
      </c>
      <c r="E37" s="2" t="inlineStr"/>
      <c r="F37" s="2" t="inlineStr"/>
    </row>
    <row r="38">
      <c r="A38" s="2" t="inlineStr">
        <is>
          <t>7. Send</t>
        </is>
      </c>
      <c r="B38" s="2" t="inlineStr">
        <is>
          <t>SEND-03</t>
        </is>
      </c>
      <c r="C38" s="2" t="inlineStr">
        <is>
          <t>Invalid recipient address
1. Enter malformed address.
2. Attempt continue.</t>
        </is>
      </c>
      <c r="D38" s="2" t="inlineStr">
        <is>
          <t>Address validation error shown; send cannot complete.</t>
        </is>
      </c>
      <c r="E38" s="2" t="inlineStr"/>
      <c r="F38" s="2" t="inlineStr"/>
    </row>
    <row r="39">
      <c r="A39" s="2" t="inlineStr">
        <is>
          <t>7. Send</t>
        </is>
      </c>
      <c r="B39" s="2" t="inlineStr">
        <is>
          <t>SEND-04</t>
        </is>
      </c>
      <c r="C39" s="2" t="inlineStr">
        <is>
          <t>Zero / empty amount
1. Leave amount empty or 0.
2. Attempt continue.</t>
        </is>
      </c>
      <c r="D39" s="2" t="inlineStr">
        <is>
          <t>Blocked with clear error.</t>
        </is>
      </c>
      <c r="E39" s="2" t="inlineStr"/>
      <c r="F39" s="2" t="inlineStr"/>
    </row>
    <row r="40">
      <c r="A40" s="2" t="inlineStr">
        <is>
          <t>7. Send</t>
        </is>
      </c>
      <c r="B40" s="2" t="inlineStr">
        <is>
          <t>SEND-05</t>
        </is>
      </c>
      <c r="C40" s="2" t="inlineStr">
        <is>
          <t>Cancel mid-flow
1. Fill form; press Back / Cancel before authorize.</t>
        </is>
      </c>
      <c r="D40" s="2" t="inlineStr">
        <is>
          <t>Returns safely; no partial broadcast side effects. Portfolio unchanged inappropriately.</t>
        </is>
      </c>
      <c r="E40" s="2" t="inlineStr"/>
      <c r="F40" s="2" t="inlineStr"/>
    </row>
    <row r="41">
      <c r="A41" s="2" t="inlineStr">
        <is>
          <t>7. Send</t>
        </is>
      </c>
      <c r="B41" s="2" t="inlineStr">
        <is>
          <t>SEND-06</t>
        </is>
      </c>
      <c r="C41" s="2" t="inlineStr">
        <is>
          <t>Preview result &amp; activity entry
1. Complete a preview send.
2. Open transaction detail from Activity.</t>
        </is>
      </c>
      <c r="D41" s="2" t="inlineStr">
        <is>
          <t>Tx appears as preview/recorded locally. Detail shows banner that explorer may not show preview transfer / live broadcast off.</t>
        </is>
      </c>
      <c r="E41" s="2" t="inlineStr"/>
      <c r="F41" s="2" t="inlineStr"/>
    </row>
    <row r="42">
      <c r="A42" s="2" t="inlineStr">
        <is>
          <t>7. Send</t>
        </is>
      </c>
      <c r="B42" s="2" t="inlineStr">
        <is>
          <t>SEND-07</t>
        </is>
      </c>
      <c r="C42" s="2" t="inlineStr">
        <is>
          <t>Balances not depleted as live when broadcast off
1. Note asset balance before preview send.
2. Complete preview send of non-zero amount.
3. Re-check balance.</t>
        </is>
      </c>
      <c r="D42" s="2" t="inlineStr">
        <is>
          <t>With liveBroadcastEnabled=false, portfolio balances are not treated as live-chain debited (local snapshot may prepend preview tx without live balance mutation). Behavior matches preview rails — not a live transfer.</t>
        </is>
      </c>
      <c r="E42" s="2" t="inlineStr"/>
      <c r="F42" s="2" t="inlineStr"/>
    </row>
    <row r="43">
      <c r="A43" s="2" t="inlineStr">
        <is>
          <t>7. Send</t>
        </is>
      </c>
      <c r="B43" s="2" t="inlineStr">
        <is>
          <t>SEND-08</t>
        </is>
      </c>
      <c r="C43" s="2" t="inlineStr">
        <is>
          <t>Address book recipient pick (if available)
1. From Send, open address book / recent recipient.
2. Select prior address; continue.</t>
        </is>
      </c>
      <c r="D43" s="2" t="inlineStr">
        <is>
          <t>Recipient field populates; flow continues to preview confirm without crash.</t>
        </is>
      </c>
      <c r="E43" s="2" t="inlineStr"/>
      <c r="F43" s="2" t="inlineStr"/>
    </row>
    <row r="44">
      <c r="A44" s="2" t="inlineStr">
        <is>
          <t>8. Receive</t>
        </is>
      </c>
      <c r="B44" s="2" t="inlineStr">
        <is>
          <t>RECV-01</t>
        </is>
      </c>
      <c r="C44" s="2" t="inlineStr">
        <is>
          <t>Funding lock banner
1. Open Receive from Home or asset.</t>
        </is>
      </c>
      <c r="D44" s="2" t="inlineStr">
        <is>
          <t>Screen states funding is locked for Version 1.0 Alpha; addresses exist for derivation preview but QR, copy, and share stay off.</t>
        </is>
      </c>
      <c r="E44" s="2" t="inlineStr"/>
      <c r="F44" s="2" t="inlineStr"/>
    </row>
    <row r="45">
      <c r="A45" s="2" t="inlineStr">
        <is>
          <t>8. Receive</t>
        </is>
      </c>
      <c r="B45" s="2" t="inlineStr">
        <is>
          <t>RECV-02</t>
        </is>
      </c>
      <c r="C45" s="2" t="inlineStr">
        <is>
          <t>QR disabled
1. Look for QR code display / generate control.</t>
        </is>
      </c>
      <c r="D45" s="2" t="inlineStr">
        <is>
          <t>Funding QR is not shown as a scannable fundable QR (or is clearly disabled). Tester cannot obtain a usable funding QR.</t>
        </is>
      </c>
      <c r="E45" s="2" t="inlineStr"/>
      <c r="F45" s="2" t="inlineStr"/>
    </row>
    <row r="46">
      <c r="A46" s="2" t="inlineStr">
        <is>
          <t>8. Receive</t>
        </is>
      </c>
      <c r="B46" s="2" t="inlineStr">
        <is>
          <t>RECV-03</t>
        </is>
      </c>
      <c r="C46" s="2" t="inlineStr">
        <is>
          <t>Copy disabled
1. Attempt Copy address.</t>
        </is>
      </c>
      <c r="D46" s="2" t="inlineStr">
        <is>
          <t>Copy is disabled or non-functional for funding. Full fundable address is not placed on clipboard.</t>
        </is>
      </c>
      <c r="E46" s="2" t="inlineStr"/>
      <c r="F46" s="2" t="inlineStr"/>
    </row>
    <row r="47">
      <c r="A47" s="2" t="inlineStr">
        <is>
          <t>8. Receive</t>
        </is>
      </c>
      <c r="B47" s="2" t="inlineStr">
        <is>
          <t>RECV-04</t>
        </is>
      </c>
      <c r="C47" s="2" t="inlineStr">
        <is>
          <t>Share disabled
1. Attempt Share address.</t>
        </is>
      </c>
      <c r="D47" s="2" t="inlineStr">
        <is>
          <t>Share is disabled. No system share sheet with full funding address.</t>
        </is>
      </c>
      <c r="E47" s="2" t="inlineStr"/>
      <c r="F47" s="2" t="inlineStr"/>
    </row>
    <row r="48">
      <c r="A48" s="2" t="inlineStr">
        <is>
          <t>8. Receive</t>
        </is>
      </c>
      <c r="B48" s="2" t="inlineStr">
        <is>
          <t>RECV-05</t>
        </is>
      </c>
      <c r="C48" s="2" t="inlineStr">
        <is>
          <t>Redacted address display
1. Observe displayed address string.</t>
        </is>
      </c>
      <c r="D48" s="2" t="inlineStr">
        <is>
          <t>Address is redacted (e.g. 0x1234…abcd style) per ReleaseConfig.redactAddress while funding locked. fundingBlockedMessage text present or reachable.</t>
        </is>
      </c>
      <c r="E48" s="2" t="inlineStr"/>
      <c r="F48" s="2" t="inlineStr"/>
    </row>
    <row r="49">
      <c r="A49" s="2" t="inlineStr">
        <is>
          <t>8. Receive</t>
        </is>
      </c>
      <c r="B49" s="2" t="inlineStr">
        <is>
          <t>RECV-06</t>
        </is>
      </c>
      <c r="C49" s="2" t="inlineStr">
        <is>
          <t>Network / asset switch still locked
1. Switch receive network or asset if UI allows.</t>
        </is>
      </c>
      <c r="D49" s="2" t="inlineStr">
        <is>
          <t>Lock persists across networks/assets. No path unlocks QR/copy/share in Alpha.</t>
        </is>
      </c>
      <c r="E49" s="2" t="inlineStr"/>
      <c r="F49" s="2" t="inlineStr"/>
    </row>
    <row r="50">
      <c r="A50" s="2" t="inlineStr">
        <is>
          <t>9. QR Scanner</t>
        </is>
      </c>
      <c r="B50" s="2" t="inlineStr">
        <is>
          <t>QR-01</t>
        </is>
      </c>
      <c r="C50" s="2" t="inlineStr">
        <is>
          <t>Open scanner and camera permission
1. Open QR scanner from Send or dedicated entry.
2. Allow camera when prompted.</t>
        </is>
      </c>
      <c r="D50" s="2" t="inlineStr">
        <is>
          <t>Camera preview starts (or clear denied state). Permission declared; deny does not crash.</t>
        </is>
      </c>
      <c r="E50" s="2" t="inlineStr"/>
      <c r="F50" s="2" t="inlineStr"/>
    </row>
    <row r="51">
      <c r="A51" s="2" t="inlineStr">
        <is>
          <t>9. QR Scanner</t>
        </is>
      </c>
      <c r="B51" s="2" t="inlineStr">
        <is>
          <t>QR-02</t>
        </is>
      </c>
      <c r="C51" s="2" t="inlineStr">
        <is>
          <t>Deny camera permission
1. Deny camera.
2. Observe UI guidance.</t>
        </is>
      </c>
      <c r="D51" s="2" t="inlineStr">
        <is>
          <t>Friendly empty/error state with path to Settings. App remains usable elsewhere.</t>
        </is>
      </c>
      <c r="E51" s="2" t="inlineStr"/>
      <c r="F51" s="2" t="inlineStr"/>
    </row>
    <row r="52">
      <c r="A52" s="2" t="inlineStr">
        <is>
          <t>9. QR Scanner</t>
        </is>
      </c>
      <c r="B52" s="2" t="inlineStr">
        <is>
          <t>QR-03</t>
        </is>
      </c>
      <c r="C52" s="2" t="inlineStr">
        <is>
          <t>Scan valid address / payment QR (test fixture)
1. Point at a test QR encoding a valid address format.
2. Confirm handoff into Send recipient field.</t>
        </is>
      </c>
      <c r="D52" s="2" t="inlineStr">
        <is>
          <t>Scanner parses and routes into send/connect flow as designed. No crash on successful decode.</t>
        </is>
      </c>
      <c r="E52" s="2" t="inlineStr"/>
      <c r="F52" s="2" t="inlineStr"/>
    </row>
    <row r="53">
      <c r="A53" s="2" t="inlineStr">
        <is>
          <t>9. QR Scanner</t>
        </is>
      </c>
      <c r="B53" s="2" t="inlineStr">
        <is>
          <t>QR-04</t>
        </is>
      </c>
      <c r="C53" s="2" t="inlineStr">
        <is>
          <t>Scan garbage / non-wallet QR
1. Scan a random non-crypto QR (e.g. website).</t>
        </is>
      </c>
      <c r="D53" s="2" t="inlineStr">
        <is>
          <t>Clear unsupported/invalid message; scanner remains open or exits gracefully.</t>
        </is>
      </c>
      <c r="E53" s="2" t="inlineStr"/>
      <c r="F53" s="2" t="inlineStr"/>
    </row>
    <row r="54">
      <c r="A54" s="2" t="inlineStr">
        <is>
          <t>10. Buy</t>
        </is>
      </c>
      <c r="B54" s="2" t="inlineStr">
        <is>
          <t>BUY-01</t>
        </is>
      </c>
      <c r="C54" s="2" t="inlineStr">
        <is>
          <t>Open Buy flow
1. Navigate to Buy from Home / More / Digital assets.</t>
        </is>
      </c>
      <c r="D54" s="2" t="inlineStr">
        <is>
          <t>Buy UI opens with simulated/preview providers. Alpha may show KYC hook-only messaging — not a live purchase.</t>
        </is>
      </c>
      <c r="E54" s="2" t="inlineStr"/>
      <c r="F54" s="2" t="inlineStr"/>
    </row>
    <row r="55">
      <c r="A55" s="2" t="inlineStr">
        <is>
          <t>10. Buy</t>
        </is>
      </c>
      <c r="B55" s="2" t="inlineStr">
        <is>
          <t>BUY-02</t>
        </is>
      </c>
      <c r="C55" s="2" t="inlineStr">
        <is>
          <t>Quote / amount entry
1. Select asset and enter fiat/crypto amount.
2. Request quote if applicable.</t>
        </is>
      </c>
      <c r="D55" s="2" t="inlineStr">
        <is>
          <t>Quote UI returns preview quote or clear unavailable state. No real payment processor charge.</t>
        </is>
      </c>
      <c r="E55" s="2" t="inlineStr"/>
      <c r="F55" s="2" t="inlineStr"/>
    </row>
    <row r="56">
      <c r="A56" s="2" t="inlineStr">
        <is>
          <t>10. Buy</t>
        </is>
      </c>
      <c r="B56" s="2" t="inlineStr">
        <is>
          <t>BUY-03</t>
        </is>
      </c>
      <c r="C56" s="2" t="inlineStr">
        <is>
          <t>Authorize preview only
1. Proceed to confirm; complete Authorize preview if shown.</t>
        </is>
      </c>
      <c r="D56" s="2" t="inlineStr">
        <is>
          <t>Completion is preview/simulated. liveBroadcastEnabled remains off — no live on-chain funding of wallet from partner.</t>
        </is>
      </c>
      <c r="E56" s="2" t="inlineStr"/>
      <c r="F56" s="2" t="inlineStr"/>
    </row>
    <row r="57">
      <c r="A57" s="2" t="inlineStr">
        <is>
          <t>10. Buy</t>
        </is>
      </c>
      <c r="B57" s="2" t="inlineStr">
        <is>
          <t>BUY-04</t>
        </is>
      </c>
      <c r="C57" s="2" t="inlineStr">
        <is>
          <t>Cancel Buy mid-flow
1. Start Buy; cancel before authorize.</t>
        </is>
      </c>
      <c r="D57" s="2" t="inlineStr">
        <is>
          <t>Exits cleanly; no pending live order.</t>
        </is>
      </c>
      <c r="E57" s="2" t="inlineStr"/>
      <c r="F57" s="2" t="inlineStr"/>
    </row>
    <row r="58">
      <c r="A58" s="2" t="inlineStr">
        <is>
          <t>10. Buy</t>
        </is>
      </c>
      <c r="B58" s="2" t="inlineStr">
        <is>
          <t>BUY-05</t>
        </is>
      </c>
      <c r="C58" s="2" t="inlineStr">
        <is>
          <t>KYC honesty
1. Look for KYC / partner identity messaging in Buy.</t>
        </is>
      </c>
      <c r="D58" s="2" t="inlineStr">
        <is>
          <t>Copy indicates Alpha shows KYC hook only / partners not live — aligns with simulated providers.</t>
        </is>
      </c>
      <c r="E58" s="2" t="inlineStr"/>
      <c r="F58" s="2" t="inlineStr"/>
    </row>
    <row r="59">
      <c r="A59" s="2" t="inlineStr">
        <is>
          <t>11. Sell</t>
        </is>
      </c>
      <c r="B59" s="2" t="inlineStr">
        <is>
          <t>SELL-01</t>
        </is>
      </c>
      <c r="C59" s="2" t="inlineStr">
        <is>
          <t>Open Sell flow
1. Navigate to Sell.</t>
        </is>
      </c>
      <c r="D59" s="2" t="inlineStr">
        <is>
          <t>Sell UI opens on preview rails. Destination may note preview until off-ramp partners connect.</t>
        </is>
      </c>
      <c r="E59" s="2" t="inlineStr"/>
      <c r="F59" s="2" t="inlineStr"/>
    </row>
    <row r="60">
      <c r="A60" s="2" t="inlineStr">
        <is>
          <t>11. Sell</t>
        </is>
      </c>
      <c r="B60" s="2" t="inlineStr">
        <is>
          <t>SELL-02</t>
        </is>
      </c>
      <c r="C60" s="2" t="inlineStr">
        <is>
          <t>Preview sell quote
1. Select asset/amount; continue to quote/review.</t>
        </is>
      </c>
      <c r="D60" s="2" t="inlineStr">
        <is>
          <t>Preview quote shown; irreversible warnings may appear. No live off-ramp payout.</t>
        </is>
      </c>
      <c r="E60" s="2" t="inlineStr"/>
      <c r="F60" s="2" t="inlineStr"/>
    </row>
    <row r="61">
      <c r="A61" s="2" t="inlineStr">
        <is>
          <t>11. Sell</t>
        </is>
      </c>
      <c r="B61" s="2" t="inlineStr">
        <is>
          <t>SELL-03</t>
        </is>
      </c>
      <c r="C61" s="2" t="inlineStr">
        <is>
          <t>Authorize preview sell
1. Complete Authorize preview.</t>
        </is>
      </c>
      <c r="D61" s="2" t="inlineStr">
        <is>
          <t>Local/preview completion only. Broadcast kill switch remains off.</t>
        </is>
      </c>
      <c r="E61" s="2" t="inlineStr"/>
      <c r="F61" s="2" t="inlineStr"/>
    </row>
    <row r="62">
      <c r="A62" s="2" t="inlineStr">
        <is>
          <t>11. Sell</t>
        </is>
      </c>
      <c r="B62" s="2" t="inlineStr">
        <is>
          <t>SELL-04</t>
        </is>
      </c>
      <c r="C62" s="2" t="inlineStr">
        <is>
          <t>Validation — oversize amount
1. Enter amount above available balance.</t>
        </is>
      </c>
      <c r="D62" s="2" t="inlineStr">
        <is>
          <t>Blocked with validation error.</t>
        </is>
      </c>
      <c r="E62" s="2" t="inlineStr"/>
      <c r="F62" s="2" t="inlineStr"/>
    </row>
    <row r="63">
      <c r="A63" s="2" t="inlineStr">
        <is>
          <t>12. Swap</t>
        </is>
      </c>
      <c r="B63" s="2" t="inlineStr">
        <is>
          <t>SWAP-01</t>
        </is>
      </c>
      <c r="C63" s="2" t="inlineStr">
        <is>
          <t>Open Swap and select pair
1. Open Swap.
2. Choose from/to assets.</t>
        </is>
      </c>
      <c r="D63" s="2" t="inlineStr">
        <is>
          <t>Swap UI loads; pair selection works. Quotes are preview/demo.</t>
        </is>
      </c>
      <c r="E63" s="2" t="inlineStr"/>
      <c r="F63" s="2" t="inlineStr"/>
    </row>
    <row r="64">
      <c r="A64" s="2" t="inlineStr">
        <is>
          <t>12. Swap</t>
        </is>
      </c>
      <c r="B64" s="2" t="inlineStr">
        <is>
          <t>SWAP-02</t>
        </is>
      </c>
      <c r="C64" s="2" t="inlineStr">
        <is>
          <t>Receive quote
1. Enter amount; wait for quote.</t>
        </is>
      </c>
      <c r="D64" s="2" t="inlineStr">
        <is>
          <t>Quote appears or explicit failure. No crash on quote refresh.</t>
        </is>
      </c>
      <c r="E64" s="2" t="inlineStr"/>
      <c r="F64" s="2" t="inlineStr"/>
    </row>
    <row r="65">
      <c r="A65" s="2" t="inlineStr">
        <is>
          <t>12. Swap</t>
        </is>
      </c>
      <c r="B65" s="2" t="inlineStr">
        <is>
          <t>SWAP-03</t>
        </is>
      </c>
      <c r="C65" s="2" t="inlineStr">
        <is>
          <t>Authorize preview swap
1. Confirm swap via Authorize preview.</t>
        </is>
      </c>
      <c r="D65" s="2" t="inlineStr">
        <is>
          <t>Completes as preview; liveBroadcastEnabled=false — no live DEX settlement expected.</t>
        </is>
      </c>
      <c r="E65" s="2" t="inlineStr"/>
      <c r="F65" s="2" t="inlineStr"/>
    </row>
    <row r="66">
      <c r="A66" s="2" t="inlineStr">
        <is>
          <t>12. Swap</t>
        </is>
      </c>
      <c r="B66" s="2" t="inlineStr">
        <is>
          <t>SWAP-04</t>
        </is>
      </c>
      <c r="C66" s="2" t="inlineStr">
        <is>
          <t>Same-asset / invalid pair handling
1. Attempt identical from/to if UI allows.
2. Or clear amount and submit.</t>
        </is>
      </c>
      <c r="D66" s="2" t="inlineStr">
        <is>
          <t>Validation prevents nonsensical swap; clear messaging.</t>
        </is>
      </c>
      <c r="E66" s="2" t="inlineStr"/>
      <c r="F66" s="2" t="inlineStr"/>
    </row>
    <row r="67">
      <c r="A67" s="2" t="inlineStr">
        <is>
          <t>12. Swap</t>
        </is>
      </c>
      <c r="B67" s="2" t="inlineStr">
        <is>
          <t>SWAP-05</t>
        </is>
      </c>
      <c r="C67" s="2" t="inlineStr">
        <is>
          <t>Flip / reverse pair control
1. Use swap direction toggle if present.</t>
        </is>
      </c>
      <c r="D67" s="2" t="inlineStr">
        <is>
          <t>Assets invert; quote recalculates or resets cleanly.</t>
        </is>
      </c>
      <c r="E67" s="2" t="inlineStr"/>
      <c r="F67" s="2" t="inlineStr"/>
    </row>
    <row r="68">
      <c r="A68" s="2" t="inlineStr">
        <is>
          <t>13. Bridge</t>
        </is>
      </c>
      <c r="B68" s="2" t="inlineStr">
        <is>
          <t>BRDG-01</t>
        </is>
      </c>
      <c r="C68" s="2" t="inlineStr">
        <is>
          <t>Open Bridge flow
1. Navigate to Bridge.
2. Select source and destination networks.</t>
        </is>
      </c>
      <c r="D68" s="2" t="inlineStr">
        <is>
          <t>Bridge UI shows destination network selection. Preview only — no live bridge execution.</t>
        </is>
      </c>
      <c r="E68" s="2" t="inlineStr"/>
      <c r="F68" s="2" t="inlineStr"/>
    </row>
    <row r="69">
      <c r="A69" s="2" t="inlineStr">
        <is>
          <t>13. Bridge</t>
        </is>
      </c>
      <c r="B69" s="2" t="inlineStr">
        <is>
          <t>BRDG-02</t>
        </is>
      </c>
      <c r="C69" s="2" t="inlineStr">
        <is>
          <t>Preview bridge quote
1. Enter amount; request quote.</t>
        </is>
      </c>
      <c r="D69" s="2" t="inlineStr">
        <is>
          <t>Preview quote or clear unavailable state. No funds leave device rails.</t>
        </is>
      </c>
      <c r="E69" s="2" t="inlineStr"/>
      <c r="F69" s="2" t="inlineStr"/>
    </row>
    <row r="70">
      <c r="A70" s="2" t="inlineStr">
        <is>
          <t>13. Bridge</t>
        </is>
      </c>
      <c r="B70" s="2" t="inlineStr">
        <is>
          <t>BRDG-03</t>
        </is>
      </c>
      <c r="C70" s="2" t="inlineStr">
        <is>
          <t>Authorize preview bridge
1. Confirm with Authorize preview.</t>
        </is>
      </c>
      <c r="D70" s="2" t="inlineStr">
        <is>
          <t>Preview completion only; broadcast kill switch off.</t>
        </is>
      </c>
      <c r="E70" s="2" t="inlineStr"/>
      <c r="F70" s="2" t="inlineStr"/>
    </row>
    <row r="71">
      <c r="A71" s="2" t="inlineStr">
        <is>
          <t>13. Bridge</t>
        </is>
      </c>
      <c r="B71" s="2" t="inlineStr">
        <is>
          <t>BRDG-04</t>
        </is>
      </c>
      <c r="C71" s="2" t="inlineStr">
        <is>
          <t>Same-network negative case
1. Set source = destination network if UI allows.</t>
        </is>
      </c>
      <c r="D71" s="2" t="inlineStr">
        <is>
          <t>Validation blocks or explains invalid bridge path.</t>
        </is>
      </c>
      <c r="E71" s="2" t="inlineStr"/>
      <c r="F71" s="2" t="inlineStr"/>
    </row>
    <row r="72">
      <c r="A72" s="2" t="inlineStr">
        <is>
          <t>14. Stake</t>
        </is>
      </c>
      <c r="B72" s="2" t="inlineStr">
        <is>
          <t>STK-01</t>
        </is>
      </c>
      <c r="C72" s="2" t="inlineStr">
        <is>
          <t>Open Stake / pools
1. Navigate to Stake.
2. Browse available pools.</t>
        </is>
      </c>
      <c r="D72" s="2" t="inlineStr">
        <is>
          <t>Pools list renders (preview). Min stake rules visible or enforced later.</t>
        </is>
      </c>
      <c r="E72" s="2" t="inlineStr"/>
      <c r="F72" s="2" t="inlineStr"/>
    </row>
    <row r="73">
      <c r="A73" s="2" t="inlineStr">
        <is>
          <t>14. Stake</t>
        </is>
      </c>
      <c r="B73" s="2" t="inlineStr">
        <is>
          <t>STK-02</t>
        </is>
      </c>
      <c r="C73" s="2" t="inlineStr">
        <is>
          <t>Below minimum stake rejected
1. Enter amount below pool minimum.
2. Attempt continue.</t>
        </is>
      </c>
      <c r="D73" s="2" t="inlineStr">
        <is>
          <t>Min amount enforced with clear error. No preview authorize until valid.</t>
        </is>
      </c>
      <c r="E73" s="2" t="inlineStr"/>
      <c r="F73" s="2" t="inlineStr"/>
    </row>
    <row r="74">
      <c r="A74" s="2" t="inlineStr">
        <is>
          <t>14. Stake</t>
        </is>
      </c>
      <c r="B74" s="2" t="inlineStr">
        <is>
          <t>STK-03</t>
        </is>
      </c>
      <c r="C74" s="2" t="inlineStr">
        <is>
          <t>Authorize preview stake
1. Enter valid amount ≥ minimum.
2. Authorize preview.</t>
        </is>
      </c>
      <c r="D74" s="2" t="inlineStr">
        <is>
          <t>Preview stake only; no live validator deposit. Rewards copy may say preview history.</t>
        </is>
      </c>
      <c r="E74" s="2" t="inlineStr"/>
      <c r="F74" s="2" t="inlineStr"/>
    </row>
    <row r="75">
      <c r="A75" s="2" t="inlineStr">
        <is>
          <t>14. Stake</t>
        </is>
      </c>
      <c r="B75" s="2" t="inlineStr">
        <is>
          <t>STK-04</t>
        </is>
      </c>
      <c r="C75" s="2" t="inlineStr">
        <is>
          <t>Claim / unstake preview paths
1. If claim/unstake actions exist, open them.</t>
        </is>
      </c>
      <c r="D75" s="2" t="inlineStr">
        <is>
          <t>Actions describe preview behavior; authorize remains preview. No live broadcast.</t>
        </is>
      </c>
      <c r="E75" s="2" t="inlineStr"/>
      <c r="F75" s="2" t="inlineStr"/>
    </row>
    <row r="76">
      <c r="A76" s="2" t="inlineStr">
        <is>
          <t>15. Security Center</t>
        </is>
      </c>
      <c r="B76" s="2" t="inlineStr">
        <is>
          <t>SEC-01</t>
        </is>
      </c>
      <c r="C76" s="2" t="inlineStr">
        <is>
          <t>Open Security Center
1. Navigate Settings → Security Center (or equivalent).</t>
        </is>
      </c>
      <c r="D76" s="2" t="inlineStr">
        <is>
          <t>Security Center loads with PIN, biometrics, and related controls accessible.</t>
        </is>
      </c>
      <c r="E76" s="2" t="inlineStr"/>
      <c r="F76" s="2" t="inlineStr"/>
    </row>
    <row r="77">
      <c r="A77" s="2" t="inlineStr">
        <is>
          <t>15. Security Center</t>
        </is>
      </c>
      <c r="B77" s="2" t="inlineStr">
        <is>
          <t>SEC-02</t>
        </is>
      </c>
      <c r="C77" s="2" t="inlineStr">
        <is>
          <t>Screenshot / privacy guard (Android)
1. Enable screenshot guard if present.
2. Attempt screenshot on a sensitive screen.</t>
        </is>
      </c>
      <c r="D77" s="2" t="inlineStr">
        <is>
          <t>On Android, FLAG_SECURE path may block or blacken screenshots when enabled. Toggle persists. (iOS guard known limited — N/A if testing Android only.)</t>
        </is>
      </c>
      <c r="E77" s="2" t="inlineStr"/>
      <c r="F77" s="2" t="inlineStr"/>
    </row>
    <row r="78">
      <c r="A78" s="2" t="inlineStr">
        <is>
          <t>15. Security Center</t>
        </is>
      </c>
      <c r="B78" s="2" t="inlineStr">
        <is>
          <t>SEC-03</t>
        </is>
      </c>
      <c r="C78" s="2" t="inlineStr">
        <is>
          <t>Trusted devices list (local)
1. Open Trusted devices if listed.</t>
        </is>
      </c>
      <c r="D78" s="2" t="inlineStr">
        <is>
          <t>On-device list loads (local, not cloud attestation). Empty or current device shown without crash.</t>
        </is>
      </c>
      <c r="E78" s="2" t="inlineStr"/>
      <c r="F78" s="2" t="inlineStr"/>
    </row>
    <row r="79">
      <c r="A79" s="2" t="inlineStr">
        <is>
          <t>15. Security Center</t>
        </is>
      </c>
      <c r="B79" s="2" t="inlineStr">
        <is>
          <t>SEC-04</t>
        </is>
      </c>
      <c r="C79" s="2" t="inlineStr">
        <is>
          <t>Permission Center entry
1. Open Permission Center from Security / Settings.</t>
        </is>
      </c>
      <c r="D79" s="2" t="inlineStr">
        <is>
          <t>Permissions UI lists app/dApp permissions; editable without crash.</t>
        </is>
      </c>
      <c r="E79" s="2" t="inlineStr"/>
      <c r="F79" s="2" t="inlineStr"/>
    </row>
    <row r="80">
      <c r="A80" s="2" t="inlineStr">
        <is>
          <t>15. Security Center</t>
        </is>
      </c>
      <c r="B80" s="2" t="inlineStr">
        <is>
          <t>SEC-05</t>
        </is>
      </c>
      <c r="C80" s="2" t="inlineStr">
        <is>
          <t>Lock now / require unlock
1. Use Lock / Require authentication control if present.
2. Confirm unlock gate appears.</t>
        </is>
      </c>
      <c r="D80" s="2" t="inlineStr">
        <is>
          <t>App locks; PIN/biometric required to return to Home.</t>
        </is>
      </c>
      <c r="E80" s="2" t="inlineStr"/>
      <c r="F80" s="2" t="inlineStr"/>
    </row>
    <row r="81">
      <c r="A81" s="2" t="inlineStr">
        <is>
          <t>16. Recovery Phrase</t>
        </is>
      </c>
      <c r="B81" s="2" t="inlineStr">
        <is>
          <t>RP-01</t>
        </is>
      </c>
      <c r="C81" s="2" t="inlineStr">
        <is>
          <t>View backup phrase with auth
1. Open Backup / Recovery phrase.
2. Authenticate with PIN/biometric.</t>
        </is>
      </c>
      <c r="D81" s="2" t="inlineStr">
        <is>
          <t>Phrase revealed only after auth. Warning not to photograph/share is visible.</t>
        </is>
      </c>
      <c r="E81" s="2" t="inlineStr"/>
      <c r="F81" s="2" t="inlineStr"/>
    </row>
    <row r="82">
      <c r="A82" s="2" t="inlineStr">
        <is>
          <t>16. Recovery Phrase</t>
        </is>
      </c>
      <c r="B82" s="2" t="inlineStr">
        <is>
          <t>RP-02</t>
        </is>
      </c>
      <c r="C82" s="2" t="inlineStr">
        <is>
          <t>Auth failure blocks reveal
1. Enter wrong PIN at reveal gate.</t>
        </is>
      </c>
      <c r="D82" s="2" t="inlineStr">
        <is>
          <t>Phrase remains hidden; error shown. Lockout rules apply after repeated failures (see PIN section).</t>
        </is>
      </c>
      <c r="E82" s="2" t="inlineStr"/>
      <c r="F82" s="2" t="inlineStr"/>
    </row>
    <row r="83">
      <c r="A83" s="2" t="inlineStr">
        <is>
          <t>16. Recovery Phrase</t>
        </is>
      </c>
      <c r="B83" s="2" t="inlineStr">
        <is>
          <t>RP-03</t>
        </is>
      </c>
      <c r="C83" s="2" t="inlineStr">
        <is>
          <t>Verify backup flow
1. Complete verify/confirm words flow after viewing.</t>
        </is>
      </c>
      <c r="D83" s="2" t="inlineStr">
        <is>
          <t>Successful verify marks backup acknowledged if product tracks it. Wrong words fail closed.</t>
        </is>
      </c>
      <c r="E83" s="2" t="inlineStr"/>
      <c r="F83" s="2" t="inlineStr"/>
    </row>
    <row r="84">
      <c r="A84" s="2" t="inlineStr">
        <is>
          <t>16. Recovery Phrase</t>
        </is>
      </c>
      <c r="B84" s="2" t="inlineStr">
        <is>
          <t>RP-04</t>
        </is>
      </c>
      <c r="C84" s="2" t="inlineStr">
        <is>
          <t>Background app while phrase visible
1. Reveal phrase; press Home; return to app.</t>
        </is>
      </c>
      <c r="D84" s="2" t="inlineStr">
        <is>
          <t>Prefer re-auth or obscure phrase on resume. No crash; phrase not left casually visible if design hides it.</t>
        </is>
      </c>
      <c r="E84" s="2" t="inlineStr"/>
      <c r="F84" s="2" t="inlineStr"/>
    </row>
    <row r="85">
      <c r="A85" s="2" t="inlineStr">
        <is>
          <t>16. Recovery Phrase</t>
        </is>
      </c>
      <c r="B85" s="2" t="inlineStr">
        <is>
          <t>RP-05</t>
        </is>
      </c>
      <c r="C85" s="2" t="inlineStr">
        <is>
          <t>Diagnostics exclude mnemonic
1. Export/copy Alpha diagnostics or feedback payload if available.
2. Inspect for seed words.</t>
        </is>
      </c>
      <c r="D85" s="2" t="inlineStr">
        <is>
          <t>Diagnostics/feedback contain no mnemonic, private keys, or PIN. May include kill-switch flags and version only.</t>
        </is>
      </c>
      <c r="E85" s="2" t="inlineStr"/>
      <c r="F85" s="2" t="inlineStr"/>
    </row>
    <row r="86">
      <c r="A86" s="2" t="inlineStr">
        <is>
          <t>17. Biometrics</t>
        </is>
      </c>
      <c r="B86" s="2" t="inlineStr">
        <is>
          <t>BIO-01</t>
        </is>
      </c>
      <c r="C86" s="2" t="inlineStr">
        <is>
          <t>Enable biometrics
1. In Security, enable Fingerprint/Face unlock.
2. Complete system biometric prompt.</t>
        </is>
      </c>
      <c r="D86" s="2" t="inlineStr">
        <is>
          <t>Biometrics enable succeeds when hardware enrolled. Preference persists.</t>
        </is>
      </c>
      <c r="E86" s="2" t="inlineStr"/>
      <c r="F86" s="2" t="inlineStr"/>
    </row>
    <row r="87">
      <c r="A87" s="2" t="inlineStr">
        <is>
          <t>17. Biometrics</t>
        </is>
      </c>
      <c r="B87" s="2" t="inlineStr">
        <is>
          <t>BIO-02</t>
        </is>
      </c>
      <c r="C87" s="2" t="inlineStr">
        <is>
          <t>Unlock with biometrics
1. Lock app / cold start.
2. Unlock via biometric.</t>
        </is>
      </c>
      <c r="D87" s="2" t="inlineStr">
        <is>
          <t>Successful biometric unlock reaches Home. Fallback to PIN is offered.</t>
        </is>
      </c>
      <c r="E87" s="2" t="inlineStr"/>
      <c r="F87" s="2" t="inlineStr"/>
    </row>
    <row r="88">
      <c r="A88" s="2" t="inlineStr">
        <is>
          <t>17. Biometrics</t>
        </is>
      </c>
      <c r="B88" s="2" t="inlineStr">
        <is>
          <t>BIO-03</t>
        </is>
      </c>
      <c r="C88" s="2" t="inlineStr">
        <is>
          <t>Biometric failure / cancel
1. Cancel biometric prompt or fail recognition.
2. Use PIN fallback.</t>
        </is>
      </c>
      <c r="D88" s="2" t="inlineStr">
        <is>
          <t>Cancel/fail does not crash; PIN unlock still works.</t>
        </is>
      </c>
      <c r="E88" s="2" t="inlineStr"/>
      <c r="F88" s="2" t="inlineStr"/>
    </row>
    <row r="89">
      <c r="A89" s="2" t="inlineStr">
        <is>
          <t>17. Biometrics</t>
        </is>
      </c>
      <c r="B89" s="2" t="inlineStr">
        <is>
          <t>BIO-04</t>
        </is>
      </c>
      <c r="C89" s="2" t="inlineStr">
        <is>
          <t>Disable biometrics
1. Turn off biometric unlock.
2. Relaunch and unlock.</t>
        </is>
      </c>
      <c r="D89" s="2" t="inlineStr">
        <is>
          <t>Only PIN (or configured method) is required. Setting persists.</t>
        </is>
      </c>
      <c r="E89" s="2" t="inlineStr"/>
      <c r="F89" s="2" t="inlineStr"/>
    </row>
    <row r="90">
      <c r="A90" s="2" t="inlineStr">
        <is>
          <t>18. PIN</t>
        </is>
      </c>
      <c r="B90" s="2" t="inlineStr">
        <is>
          <t>PIN-01</t>
        </is>
      </c>
      <c r="C90" s="2" t="inlineStr">
        <is>
          <t>Set / change PIN
1. Change PIN in Security Center.
2. Confirm old PIN if required; set new; re-confirm.</t>
        </is>
      </c>
      <c r="D90" s="2" t="inlineStr">
        <is>
          <t>PIN updates; unlock with new PIN works; old PIN fails.</t>
        </is>
      </c>
      <c r="E90" s="2" t="inlineStr"/>
      <c r="F90" s="2" t="inlineStr"/>
    </row>
    <row r="91">
      <c r="A91" s="2" t="inlineStr">
        <is>
          <t>18. PIN</t>
        </is>
      </c>
      <c r="B91" s="2" t="inlineStr">
        <is>
          <t>PIN-02</t>
        </is>
      </c>
      <c r="C91" s="2" t="inlineStr">
        <is>
          <t>Wrong PIN rejection
1. On lock screen, enter incorrect PIN once.</t>
        </is>
      </c>
      <c r="D91" s="2" t="inlineStr">
        <is>
          <t>Clear error; remains locked. No indication of partial correctness beyond fail.</t>
        </is>
      </c>
      <c r="E91" s="2" t="inlineStr"/>
      <c r="F91" s="2" t="inlineStr"/>
    </row>
    <row r="92">
      <c r="A92" s="2" t="inlineStr">
        <is>
          <t>18. PIN</t>
        </is>
      </c>
      <c r="B92" s="2" t="inlineStr">
        <is>
          <t>PIN-03</t>
        </is>
      </c>
      <c r="C92" s="2" t="inlineStr">
        <is>
          <t>Lockout after repeated failures
1. Enter wrong PIN repeatedly until lockout.</t>
        </is>
      </c>
      <c r="D92" s="2" t="inlineStr">
        <is>
          <t>Temporary lockout or backoff engages with clear messaging. App does not wipe wallet unexpectedly in Alpha without explicit wipe action.</t>
        </is>
      </c>
      <c r="E92" s="2" t="inlineStr"/>
      <c r="F92" s="2" t="inlineStr"/>
    </row>
    <row r="93">
      <c r="A93" s="2" t="inlineStr">
        <is>
          <t>18. PIN</t>
        </is>
      </c>
      <c r="B93" s="2" t="inlineStr">
        <is>
          <t>PIN-04</t>
        </is>
      </c>
      <c r="C93" s="2" t="inlineStr">
        <is>
          <t>PIN mismatch on setup
1. During set/change, enter mismatched confirmation.</t>
        </is>
      </c>
      <c r="D93" s="2" t="inlineStr">
        <is>
          <t>Mismatch error; PIN not changed.</t>
        </is>
      </c>
      <c r="E93" s="2" t="inlineStr"/>
      <c r="F93" s="2" t="inlineStr"/>
    </row>
    <row r="94">
      <c r="A94" s="2" t="inlineStr">
        <is>
          <t>18. PIN</t>
        </is>
      </c>
      <c r="B94" s="2" t="inlineStr">
        <is>
          <t>PIN-05</t>
        </is>
      </c>
      <c r="C94" s="2" t="inlineStr">
        <is>
          <t>App resume lock
1. Background app beyond lock timeout (or use Lock now).
2. Resume.</t>
        </is>
      </c>
      <c r="D94" s="2" t="inlineStr">
        <is>
          <t>Unlock gate appears per security settings before sensitive content.</t>
        </is>
      </c>
      <c r="E94" s="2" t="inlineStr"/>
      <c r="F94" s="2" t="inlineStr"/>
    </row>
    <row r="95">
      <c r="A95" s="2" t="inlineStr">
        <is>
          <t>19. Settings</t>
        </is>
      </c>
      <c r="B95" s="2" t="inlineStr">
        <is>
          <t>SET-01</t>
        </is>
      </c>
      <c r="C95" s="2" t="inlineStr">
        <is>
          <t>Settings home navigation
1. Open More/Settings.
2. Open Appearance, Networks, Account, Privacy, About in turn.</t>
        </is>
      </c>
      <c r="D95" s="2" t="inlineStr">
        <is>
          <t>Each subsection opens and Back returns to Settings. No crash.</t>
        </is>
      </c>
      <c r="E95" s="2" t="inlineStr"/>
      <c r="F95" s="2" t="inlineStr"/>
    </row>
    <row r="96">
      <c r="A96" s="2" t="inlineStr">
        <is>
          <t>19. Settings</t>
        </is>
      </c>
      <c r="B96" s="2" t="inlineStr">
        <is>
          <t>SET-02</t>
        </is>
      </c>
      <c r="C96" s="2" t="inlineStr">
        <is>
          <t>Appearance persistence
1. Change theme (light/dark/system) if available.
2. Kill and relaunch.</t>
        </is>
      </c>
      <c r="D96" s="2" t="inlineStr">
        <is>
          <t>Theme preference persists.</t>
        </is>
      </c>
      <c r="E96" s="2" t="inlineStr"/>
      <c r="F96" s="2" t="inlineStr"/>
    </row>
    <row r="97">
      <c r="A97" s="2" t="inlineStr">
        <is>
          <t>19. Settings</t>
        </is>
      </c>
      <c r="B97" s="2" t="inlineStr">
        <is>
          <t>SET-03</t>
        </is>
      </c>
      <c r="C97" s="2" t="inlineStr">
        <is>
          <t>Privacy — analytics unwired honesty
1. Open Privacy settings.
2. Inspect analytics toggle/copy.</t>
        </is>
      </c>
      <c r="D97" s="2" t="inlineStr">
        <is>
          <t>Copy states analytics unavailable / no analytics SDK wired; nothing leaves device. Toggle does not silently exfiltrate.</t>
        </is>
      </c>
      <c r="E97" s="2" t="inlineStr"/>
      <c r="F97" s="2" t="inlineStr"/>
    </row>
    <row r="98">
      <c r="A98" s="2" t="inlineStr">
        <is>
          <t>19. Settings</t>
        </is>
      </c>
      <c r="B98" s="2" t="inlineStr">
        <is>
          <t>SET-04</t>
        </is>
      </c>
      <c r="C98" s="2" t="inlineStr">
        <is>
          <t>Privacy — crash reporting unwired
1. Inspect crash reporting preference.</t>
        </is>
      </c>
      <c r="D98" s="2" t="inlineStr">
        <is>
          <t>States not available in Alpha; preference local only; no crash SDK wired.</t>
        </is>
      </c>
      <c r="E98" s="2" t="inlineStr"/>
      <c r="F98" s="2" t="inlineStr"/>
    </row>
    <row r="99">
      <c r="A99" s="2" t="inlineStr">
        <is>
          <t>19. Settings</t>
        </is>
      </c>
      <c r="B99" s="2" t="inlineStr">
        <is>
          <t>SET-05</t>
        </is>
      </c>
      <c r="C99" s="2" t="inlineStr">
        <is>
          <t>About — version and legal links
1. Open About.
2. Confirm version label; tap Website / Privacy / Terms / Support email.</t>
        </is>
      </c>
      <c r="D99" s="2" t="inlineStr">
        <is>
          <t>Shows Version 1.0 Alpha, 1.0.0-alpha.1, channel alpha, fundingBlockedMessage. Links attempt to open wallet.auvora.app URLs / mailto:alpha@auvora.app (hosted pages may 404 until published — note result; app must not crash).</t>
        </is>
      </c>
      <c r="E99" s="2" t="inlineStr"/>
      <c r="F99" s="2" t="inlineStr"/>
    </row>
    <row r="100">
      <c r="A100" s="2" t="inlineStr">
        <is>
          <t>19. Settings</t>
        </is>
      </c>
      <c r="B100" s="2" t="inlineStr">
        <is>
          <t>SET-06</t>
        </is>
      </c>
      <c r="C100" s="2" t="inlineStr">
        <is>
          <t>Alpha feedback
1. Open Send Alpha feedback.
2. Compose note; copy/export if offered.
3. Confirm payload has no secrets.</t>
        </is>
      </c>
      <c r="D100" s="2" t="inlineStr">
        <is>
          <t>Feedback stays on-device until user copies. Includes version/channel/kill-switch flags only — no seed/PIN/keys.</t>
        </is>
      </c>
      <c r="E100" s="2" t="inlineStr"/>
      <c r="F100" s="2" t="inlineStr"/>
    </row>
    <row r="101">
      <c r="A101" s="2" t="inlineStr">
        <is>
          <t>19. Settings</t>
        </is>
      </c>
      <c r="B101" s="2" t="inlineStr">
        <is>
          <t>SET-07</t>
        </is>
      </c>
      <c r="C101" s="2" t="inlineStr">
        <is>
          <t>Account settings funding lock
1. Open Account settings; view address controls.</t>
        </is>
      </c>
      <c r="D101" s="2" t="inlineStr">
        <is>
          <t>Funding lock banner; redacted address; copy/export disabled while allowFundingAddresses=false.</t>
        </is>
      </c>
      <c r="E101" s="2" t="inlineStr"/>
      <c r="F101" s="2" t="inlineStr"/>
    </row>
    <row r="102">
      <c r="A102" s="2" t="inlineStr">
        <is>
          <t>20. Notifications</t>
        </is>
      </c>
      <c r="B102" s="2" t="inlineStr">
        <is>
          <t>NOTIF-01</t>
        </is>
      </c>
      <c r="C102" s="2" t="inlineStr">
        <is>
          <t>Notification preference center
1. Open Notifications settings.
2. Toggle categories if present.</t>
        </is>
      </c>
      <c r="D102" s="2" t="inlineStr">
        <is>
          <t>Preferences save locally. No push SDK — remote push not expected in Alpha.</t>
        </is>
      </c>
      <c r="E102" s="2" t="inlineStr"/>
      <c r="F102" s="2" t="inlineStr"/>
    </row>
    <row r="103">
      <c r="A103" s="2" t="inlineStr">
        <is>
          <t>20. Notifications</t>
        </is>
      </c>
      <c r="B103" s="2" t="inlineStr">
        <is>
          <t>NOTIF-02</t>
        </is>
      </c>
      <c r="C103" s="2" t="inlineStr">
        <is>
          <t>OS permission (Android 13+)
1. If prompted for POST_NOTIFICATIONS, Allow once.
2. Deny on a second install/profile if available.</t>
        </is>
      </c>
      <c r="D103" s="2" t="inlineStr">
        <is>
          <t>Allow/deny handled without crash. Channels exist in system App notifications for the package.</t>
        </is>
      </c>
      <c r="E103" s="2" t="inlineStr"/>
      <c r="F103" s="2" t="inlineStr"/>
    </row>
    <row r="104">
      <c r="A104" s="2" t="inlineStr">
        <is>
          <t>20. Notifications</t>
        </is>
      </c>
      <c r="B104" s="2" t="inlineStr">
        <is>
          <t>NOTIF-03</t>
        </is>
      </c>
      <c r="C104" s="2" t="inlineStr">
        <is>
          <t>In-app notification center
1. Open in-app notifications / inbox if present.</t>
        </is>
      </c>
      <c r="D104" s="2" t="inlineStr">
        <is>
          <t>List or empty state renders. Local categories only — not a live FCM test.</t>
        </is>
      </c>
      <c r="E104" s="2" t="inlineStr"/>
      <c r="F104" s="2" t="inlineStr"/>
    </row>
    <row r="105">
      <c r="A105" s="2" t="inlineStr">
        <is>
          <t>20. Notifications</t>
        </is>
      </c>
      <c r="B105" s="2" t="inlineStr">
        <is>
          <t>NOTIF-04</t>
        </is>
      </c>
      <c r="C105" s="2" t="inlineStr">
        <is>
          <t>No unexpected remote spam
1. Idle online 5 minutes after install with notifications allowed.</t>
        </is>
      </c>
      <c r="D105" s="2" t="inlineStr">
        <is>
          <t>No unexpected marketing push (push not configured). Local notifs only if triggered by in-app events.</t>
        </is>
      </c>
      <c r="E105" s="2" t="inlineStr"/>
      <c r="F105" s="2" t="inlineStr"/>
    </row>
    <row r="106">
      <c r="A106" s="2" t="inlineStr">
        <is>
          <t>21. Web3 Connections</t>
        </is>
      </c>
      <c r="B106" s="2" t="inlineStr">
        <is>
          <t>W3-01</t>
        </is>
      </c>
      <c r="C106" s="2" t="inlineStr">
        <is>
          <t>Open Connections / Web3 hub
1. Navigate to Connections / Web3.</t>
        </is>
      </c>
      <c r="D106" s="2" t="inlineStr">
        <is>
          <t>Hub loads; empty state or existing sessions listed. Partial WalletConnect implementation is acceptable if fail-closed.</t>
        </is>
      </c>
      <c r="E106" s="2" t="inlineStr"/>
      <c r="F106" s="2" t="inlineStr"/>
    </row>
    <row r="107">
      <c r="A107" s="2" t="inlineStr">
        <is>
          <t>21. Web3 Connections</t>
        </is>
      </c>
      <c r="B107" s="2" t="inlineStr">
        <is>
          <t>W3-02</t>
        </is>
      </c>
      <c r="C107" s="2" t="inlineStr">
        <is>
          <t>Approve connection sheet (preview)
1. Initiate a test connect via wc: deep link or in-app connect if available.
2. Review permissions on approval sheet.
3. Approve.</t>
        </is>
      </c>
      <c r="D107" s="2" t="inlineStr">
        <is>
          <t>Approval sheet shows requested permissions. Session recorded in Permission Center when approve succeeds. Fail-closed if provider uncertain — Pass if clear deny/error rather than silent grant.</t>
        </is>
      </c>
      <c r="E107" s="2" t="inlineStr"/>
      <c r="F107" s="2" t="inlineStr"/>
    </row>
    <row r="108">
      <c r="A108" s="2" t="inlineStr">
        <is>
          <t>21. Web3 Connections</t>
        </is>
      </c>
      <c r="B108" s="2" t="inlineStr">
        <is>
          <t>W3-03</t>
        </is>
      </c>
      <c r="C108" s="2" t="inlineStr">
        <is>
          <t>Reject connection
1. Start connect; tap Reject/Cancel.</t>
        </is>
      </c>
      <c r="D108" s="2" t="inlineStr">
        <is>
          <t>No session created; activity may log rejection. App stable.</t>
        </is>
      </c>
      <c r="E108" s="2" t="inlineStr"/>
      <c r="F108" s="2" t="inlineStr"/>
    </row>
    <row r="109">
      <c r="A109" s="2" t="inlineStr">
        <is>
          <t>21. Web3 Connections</t>
        </is>
      </c>
      <c r="B109" s="2" t="inlineStr">
        <is>
          <t>W3-04</t>
        </is>
      </c>
      <c r="C109" s="2" t="inlineStr">
        <is>
          <t>Signing sheet preview
1. If a connected session can request sign (or use auvora://sign deep link test), open signing UI.
2. Review and reject.</t>
        </is>
      </c>
      <c r="D109" s="2" t="inlineStr">
        <is>
          <t>Signing sheet shows readable request summary. Reject works. Live broadcast remains off — no unexpected chain submit.</t>
        </is>
      </c>
      <c r="E109" s="2" t="inlineStr"/>
      <c r="F109" s="2" t="inlineStr"/>
    </row>
    <row r="110">
      <c r="A110" s="2" t="inlineStr">
        <is>
          <t>21. Web3 Connections</t>
        </is>
      </c>
      <c r="B110" s="2" t="inlineStr">
        <is>
          <t>W3-05</t>
        </is>
      </c>
      <c r="C110" s="2" t="inlineStr">
        <is>
          <t>Disconnect session
1. From Connections, disconnect an approved session.</t>
        </is>
      </c>
      <c r="D110" s="2" t="inlineStr">
        <is>
          <t>Session cleared; permissions updated; activity logged if designed.</t>
        </is>
      </c>
      <c r="E110" s="2" t="inlineStr"/>
      <c r="F110" s="2" t="inlineStr"/>
    </row>
    <row r="111">
      <c r="A111" s="2" t="inlineStr">
        <is>
          <t>21. Web3 Connections</t>
        </is>
      </c>
      <c r="B111" s="2" t="inlineStr">
        <is>
          <t>W3-06</t>
        </is>
      </c>
      <c r="C111" s="2" t="inlineStr">
        <is>
          <t>Deep link schemes
1. From adb or browser, trigger auvora://wc or wc: test URI (harmless/invalid OK).
2. Observe app open.</t>
        </is>
      </c>
      <c r="D111" s="2" t="inlineStr">
        <is>
          <t>App opens via intent filter (schemes auvora, wc; https wallet.auvora.app paths declared). Invalid payload fails closed without crash. Note: HTTPS App Links not autoVerify — may need app chooser.</t>
        </is>
      </c>
      <c r="E111" s="2" t="inlineStr"/>
      <c r="F111" s="2" t="inlineStr"/>
    </row>
    <row r="112">
      <c r="A112" s="2" t="inlineStr">
        <is>
          <t>22. Offline Mode</t>
        </is>
      </c>
      <c r="B112" s="2" t="inlineStr">
        <is>
          <t>OFF-01</t>
        </is>
      </c>
      <c r="C112" s="2" t="inlineStr">
        <is>
          <t>Cached portfolio while offline
1. Load portfolio online.
2. Enable Airplane mode.
3. Browse Home / Help.</t>
        </is>
      </c>
      <c r="D112" s="2" t="inlineStr">
        <is>
          <t>Cached portfolio/help readable. Offline indicator or graceful degradation — not a hard crash.</t>
        </is>
      </c>
      <c r="E112" s="2" t="inlineStr"/>
      <c r="F112" s="2" t="inlineStr"/>
    </row>
    <row r="113">
      <c r="A113" s="2" t="inlineStr">
        <is>
          <t>22. Offline Mode</t>
        </is>
      </c>
      <c r="B113" s="2" t="inlineStr">
        <is>
          <t>OFF-02</t>
        </is>
      </c>
      <c r="C113" s="2" t="inlineStr">
        <is>
          <t>Blocked online-only actions
1. While offline, attempt Swap quote or refresh that needs network.</t>
        </is>
      </c>
      <c r="D113" s="2" t="inlineStr">
        <is>
          <t>Clear offline error; unsafe actions not silently marked live-success. OfflineActionQueue only queues safe actions.</t>
        </is>
      </c>
      <c r="E113" s="2" t="inlineStr"/>
      <c r="F113" s="2" t="inlineStr"/>
    </row>
    <row r="114">
      <c r="A114" s="2" t="inlineStr">
        <is>
          <t>22. Offline Mode</t>
        </is>
      </c>
      <c r="B114" s="2" t="inlineStr">
        <is>
          <t>OFF-03</t>
        </is>
      </c>
      <c r="C114" s="2" t="inlineStr">
        <is>
          <t>Resume online sync
1. Disable Airplane mode.
2. Return to app; refresh.</t>
        </is>
      </c>
      <c r="D114" s="2" t="inlineStr">
        <is>
          <t>Sync resumes; safe queued actions drain if any. UI returns to online state.</t>
        </is>
      </c>
      <c r="E114" s="2" t="inlineStr"/>
      <c r="F114" s="2" t="inlineStr"/>
    </row>
    <row r="115">
      <c r="A115" s="2" t="inlineStr">
        <is>
          <t>22. Offline Mode</t>
        </is>
      </c>
      <c r="B115" s="2" t="inlineStr">
        <is>
          <t>OFF-04</t>
        </is>
      </c>
      <c r="C115" s="2" t="inlineStr">
        <is>
          <t>No OS background sync expectation
1. Leave app killed offline overnight (optional short wait).
2. Note freshness on next open.</t>
        </is>
      </c>
      <c r="D115" s="2" t="inlineStr">
        <is>
          <t>Background OS sync not wired (KI-M06). Stale-until-foreground is acceptable for Alpha — Pass if documented behavior, Fail only if claims real-time BG updates.</t>
        </is>
      </c>
      <c r="E115" s="2" t="inlineStr"/>
      <c r="F115" s="2" t="inlineStr"/>
    </row>
    <row r="116">
      <c r="A116" s="2" t="inlineStr">
        <is>
          <t>23. Performance</t>
        </is>
      </c>
      <c r="B116" s="2" t="inlineStr">
        <is>
          <t>PERF-01</t>
        </is>
      </c>
      <c r="C116" s="2" t="inlineStr">
        <is>
          <t>Cold start timing
1. Force-stop app.
2. Launch from icon; time to interactive unlock/Home.</t>
        </is>
      </c>
      <c r="D116" s="2" t="inlineStr">
        <is>
          <t>Reaches interactive UI without ANR (Android “App isn’t responding”). Splash completes in a reasonable Alpha window on mid-range arm64 device.</t>
        </is>
      </c>
      <c r="E116" s="2" t="inlineStr"/>
      <c r="F116" s="2" t="inlineStr"/>
    </row>
    <row r="117">
      <c r="A117" s="2" t="inlineStr">
        <is>
          <t>23. Performance</t>
        </is>
      </c>
      <c r="B117" s="2" t="inlineStr">
        <is>
          <t>PERF-02</t>
        </is>
      </c>
      <c r="C117" s="2" t="inlineStr">
        <is>
          <t>Portfolio scroll smoothness
1. On Home with asset list, fling-scroll repeatedly 20s.</t>
        </is>
      </c>
      <c r="D117" s="2" t="inlineStr">
        <is>
          <t>No sustained freeze/ANR. Occasional jank OK for Alpha; hard freeze is Fail.</t>
        </is>
      </c>
      <c r="E117" s="2" t="inlineStr"/>
      <c r="F117" s="2" t="inlineStr"/>
    </row>
    <row r="118">
      <c r="A118" s="2" t="inlineStr">
        <is>
          <t>23. Performance</t>
        </is>
      </c>
      <c r="B118" s="2" t="inlineStr">
        <is>
          <t>PERF-03</t>
        </is>
      </c>
      <c r="C118" s="2" t="inlineStr">
        <is>
          <t>Rapid tab switching
1. Switch bottom tabs / primary nav quickly for 30s.</t>
        </is>
      </c>
      <c r="D118" s="2" t="inlineStr">
        <is>
          <t>No crash, blank screens lasting &gt;few seconds, or ANR.</t>
        </is>
      </c>
      <c r="E118" s="2" t="inlineStr"/>
      <c r="F118" s="2" t="inlineStr"/>
    </row>
    <row r="119">
      <c r="A119" s="2" t="inlineStr">
        <is>
          <t>23. Performance</t>
        </is>
      </c>
      <c r="B119" s="2" t="inlineStr">
        <is>
          <t>PERF-04</t>
        </is>
      </c>
      <c r="C119" s="2" t="inlineStr">
        <is>
          <t>Memory after long session (smoke)
1. Navigate Send/Receive/Swap/Settings for ~5 minutes.
2. Return Home.</t>
        </is>
      </c>
      <c r="D119" s="2" t="inlineStr">
        <is>
          <t>App remains responsive. No progressive degradation to unusable state.</t>
        </is>
      </c>
      <c r="E119" s="2" t="inlineStr"/>
      <c r="F119" s="2" t="inlineStr"/>
    </row>
    <row r="120">
      <c r="A120" s="2" t="inlineStr">
        <is>
          <t>24. Accessibility</t>
        </is>
      </c>
      <c r="B120" s="2" t="inlineStr">
        <is>
          <t>A11Y-01</t>
        </is>
      </c>
      <c r="C120" s="2" t="inlineStr">
        <is>
          <t>TalkBack basic navigation
1. Enable TalkBack.
2. Swipe through Home, Settings, Send entry.</t>
        </is>
      </c>
      <c r="D120" s="2" t="inlineStr">
        <is>
          <t>Focus moves logically; primary controls have readable labels. Blocking unlabeled icon-only controls are Fail for those controls.</t>
        </is>
      </c>
      <c r="E120" s="2" t="inlineStr"/>
      <c r="F120" s="2" t="inlineStr"/>
    </row>
    <row r="121">
      <c r="A121" s="2" t="inlineStr">
        <is>
          <t>24. Accessibility</t>
        </is>
      </c>
      <c r="B121" s="2" t="inlineStr">
        <is>
          <t>A11Y-02</t>
        </is>
      </c>
      <c r="C121" s="2" t="inlineStr">
        <is>
          <t>TalkBack lock / PIN entry
1. With TalkBack on, unlock with PIN.</t>
        </is>
      </c>
      <c r="D121" s="2" t="inlineStr">
        <is>
          <t>PIN pad announced adequately to complete unlock. No expose of PIN digits via insecure announcements beyond standard keypad behavior.</t>
        </is>
      </c>
      <c r="E121" s="2" t="inlineStr"/>
      <c r="F121" s="2" t="inlineStr"/>
    </row>
    <row r="122">
      <c r="A122" s="2" t="inlineStr">
        <is>
          <t>24. Accessibility</t>
        </is>
      </c>
      <c r="B122" s="2" t="inlineStr">
        <is>
          <t>A11Y-03</t>
        </is>
      </c>
      <c r="C122" s="2" t="inlineStr">
        <is>
          <t>Large font / display size
1. Set system font to largest.
2. Visit Home, Receive lock banner, Settings.</t>
        </is>
      </c>
      <c r="D122" s="2" t="inlineStr">
        <is>
          <t>Critical text remains readable; no irreversible overlap hiding primary CTAs. Minor clip acceptable if noted.</t>
        </is>
      </c>
      <c r="E122" s="2" t="inlineStr"/>
      <c r="F122" s="2" t="inlineStr"/>
    </row>
    <row r="123">
      <c r="A123" s="2" t="inlineStr">
        <is>
          <t>24. Accessibility</t>
        </is>
      </c>
      <c r="B123" s="2" t="inlineStr">
        <is>
          <t>A11Y-04</t>
        </is>
      </c>
      <c r="C123" s="2" t="inlineStr">
        <is>
          <t>Contrast smoke (manual)
1. In light and dark theme (if both exist), check primary text on backgrounds for Home and banners.</t>
        </is>
      </c>
      <c r="D123" s="2" t="inlineStr">
        <is>
          <t>Body text and lock banners remain legible. Flag severe low-contrast failures; known residual a11y debt (KI-H02) may be Notes, not automatic Fail unless unusable.</t>
        </is>
      </c>
      <c r="E123" s="2" t="inlineStr"/>
      <c r="F123" s="2" t="inlineStr"/>
    </row>
    <row r="124">
      <c r="A124" s="2" t="inlineStr">
        <is>
          <t>24. Accessibility</t>
        </is>
      </c>
      <c r="B124" s="2" t="inlineStr">
        <is>
          <t>A11Y-05</t>
        </is>
      </c>
      <c r="C124" s="2" t="inlineStr">
        <is>
          <t>Touch target smoke
1. Tap primary nav items and Send/Receive CTAs with finger (not stylus).</t>
        </is>
      </c>
      <c r="D124" s="2" t="inlineStr">
        <is>
          <t>Primary actions are reliably hittable (~48dp class). Overlapping hit targets that mis-fire are Fail.</t>
        </is>
      </c>
      <c r="E124" s="2" t="inlineStr"/>
      <c r="F124" s="2" t="inlineStr"/>
    </row>
    <row r="125">
      <c r="A125" s="2" t="inlineStr">
        <is>
          <t>25. Crash Recovery</t>
        </is>
      </c>
      <c r="B125" s="2" t="inlineStr">
        <is>
          <t>CR-01</t>
        </is>
      </c>
      <c r="C125" s="2" t="inlineStr">
        <is>
          <t>Force-stop and relaunch
1. Unlock app; note wallet visible.
2. Android Settings → Force stop.
3. Launch app; unlock.</t>
        </is>
      </c>
      <c r="D125" s="2" t="inlineStr">
        <is>
          <t>App cold-starts; unlock required; wallet data retained (same account).</t>
        </is>
      </c>
      <c r="E125" s="2" t="inlineStr"/>
      <c r="F125" s="2" t="inlineStr"/>
    </row>
    <row r="126">
      <c r="A126" s="2" t="inlineStr">
        <is>
          <t>25. Crash Recovery</t>
        </is>
      </c>
      <c r="B126" s="2" t="inlineStr">
        <is>
          <t>CR-02</t>
        </is>
      </c>
      <c r="C126" s="2" t="inlineStr">
        <is>
          <t>Kill during Send preview
1. Start Send; reach review; Force stop.
2. Relaunch; unlock; check Activity/balances.</t>
        </is>
      </c>
      <c r="D126" s="2" t="inlineStr">
        <is>
          <t>No corrupted state. No falsely claimed live broadcast. Preview tx either absent or consistently recorded — not half-applied secrets.</t>
        </is>
      </c>
      <c r="E126" s="2" t="inlineStr"/>
      <c r="F126" s="2" t="inlineStr"/>
    </row>
    <row r="127">
      <c r="A127" s="2" t="inlineStr">
        <is>
          <t>25. Crash Recovery</t>
        </is>
      </c>
      <c r="B127" s="2" t="inlineStr">
        <is>
          <t>CR-03</t>
        </is>
      </c>
      <c r="C127" s="2" t="inlineStr">
        <is>
          <t>OS reboot retention
1. Reboot phone.
2. Launch Auvora; unlock.</t>
        </is>
      </c>
      <c r="D127" s="2" t="inlineStr">
        <is>
          <t>Wallet still present; PIN/biometric still work. Settings preferences retained.</t>
        </is>
      </c>
      <c r="E127" s="2" t="inlineStr"/>
      <c r="F127" s="2" t="inlineStr"/>
    </row>
    <row r="128">
      <c r="A128" s="2" t="inlineStr">
        <is>
          <t>25. Crash Recovery</t>
        </is>
      </c>
      <c r="B128" s="2" t="inlineStr">
        <is>
          <t>CR-04</t>
        </is>
      </c>
      <c r="C128" s="2" t="inlineStr">
        <is>
          <t>Low-memory reclaim smoke
1. Open Auvora; switch to heavy apps to encourage reclaim.
2. Return via recents or launcher.</t>
        </is>
      </c>
      <c r="D128" s="2" t="inlineStr">
        <is>
          <t>Either restores UI state or cleanly re-locks and reloads. No crash loop on resume.</t>
        </is>
      </c>
      <c r="E128" s="2" t="inlineStr"/>
      <c r="F128" s="2" t="inlineStr"/>
    </row>
  </sheetData>
  <autoFilter ref="A1:F128"/>
  <dataValidations count="1">
    <dataValidation sqref="E2:E128" showDropDown="0" showInputMessage="0" showErrorMessage="0" allowBlank="1" errorTitle="Invalid status" error="Select Pass, Fail, Blocked, or N/A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Version 1.0 Alpha Manual Test Sign-off</t>
        </is>
      </c>
    </row>
    <row r="3">
      <c r="A3" s="4" t="inlineStr">
        <is>
          <t>Field</t>
        </is>
      </c>
      <c r="B3" s="4" t="inlineStr">
        <is>
          <t>Value</t>
        </is>
      </c>
    </row>
    <row r="4">
      <c r="A4" s="5" t="inlineStr">
        <is>
          <t>Product</t>
        </is>
      </c>
      <c r="B4" t="inlineStr">
        <is>
          <t>Auvora Wallet</t>
        </is>
      </c>
    </row>
    <row r="5">
      <c r="A5" s="5" t="inlineStr">
        <is>
          <t>Package</t>
        </is>
      </c>
      <c r="B5" t="inlineStr">
        <is>
          <t>com.auvora.auvora_wallet</t>
        </is>
      </c>
    </row>
    <row r="6">
      <c r="A6" s="5" t="inlineStr">
        <is>
          <t>Version</t>
        </is>
      </c>
      <c r="B6" t="inlineStr">
        <is>
          <t>1.0.0-alpha.1</t>
        </is>
      </c>
    </row>
    <row r="7">
      <c r="A7" s="5" t="inlineStr">
        <is>
          <t>versionCode</t>
        </is>
      </c>
      <c r="B7" t="inlineStr">
        <is>
          <t>5</t>
        </is>
      </c>
    </row>
    <row r="8">
      <c r="A8" s="5" t="inlineStr">
        <is>
          <t>APK path</t>
        </is>
      </c>
      <c r="B8" t="inlineStr">
        <is>
          <t>D:\auvora-build\dist\alpha-1.0.0\auvora-wallet-1.0.0-alpha.1-arm64.apk</t>
        </is>
      </c>
    </row>
    <row r="9">
      <c r="A9" s="5" t="inlineStr">
        <is>
          <t>APK SHA-256</t>
        </is>
      </c>
      <c r="B9" t="inlineStr">
        <is>
          <t>b6aeb67f1bf3f41f4c2b9be90462236277d15d812f988e40d2bdc6875cd087e9</t>
        </is>
      </c>
    </row>
    <row r="10">
      <c r="A10" s="5" t="inlineStr">
        <is>
          <t>Checklist date</t>
        </is>
      </c>
      <c r="B10" t="inlineStr">
        <is>
          <t>2026-07-31</t>
        </is>
      </c>
    </row>
    <row r="11">
      <c r="A11" s="5" t="inlineStr">
        <is>
          <t>Tester</t>
        </is>
      </c>
      <c r="B11" t="inlineStr"/>
    </row>
    <row r="12">
      <c r="A12" s="5" t="inlineStr">
        <is>
          <t>Device model</t>
        </is>
      </c>
      <c r="B12" t="inlineStr"/>
    </row>
    <row r="13">
      <c r="A13" s="5" t="inlineStr">
        <is>
          <t>Android version</t>
        </is>
      </c>
      <c r="B13" t="inlineStr"/>
    </row>
    <row r="14">
      <c r="A14" s="5" t="inlineStr">
        <is>
          <t>Test date</t>
        </is>
      </c>
      <c r="B14" t="inlineStr"/>
    </row>
    <row r="15">
      <c r="A15" s="5" t="inlineStr">
        <is>
          <t>Build hash / APK filename</t>
        </is>
      </c>
      <c r="B15" t="inlineStr"/>
    </row>
    <row r="16">
      <c r="A16" s="5" t="inlineStr">
        <is>
          <t>Overall result</t>
        </is>
      </c>
      <c r="B16" t="inlineStr"/>
    </row>
    <row r="17">
      <c r="A17" s="5" t="inlineStr">
        <is>
          <t>Critical blockers (Y/N + IDs)</t>
        </is>
      </c>
      <c r="B17" t="inlineStr"/>
    </row>
    <row r="18">
      <c r="A18" s="5" t="inlineStr">
        <is>
          <t>Notes / acknowledgement</t>
        </is>
      </c>
      <c r="B18" t="inlineStr"/>
    </row>
  </sheetData>
  <dataValidations count="1">
    <dataValidation sqref="B16" showDropDown="0" showInputMessage="0" showErrorMessage="0" allowBlank="1" type="list">
      <formula1>"Pass,Fail,Conditional,Blocked"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Section</t>
        </is>
      </c>
      <c r="B1" s="4" t="inlineStr">
        <is>
          <t>Total</t>
        </is>
      </c>
      <c r="C1" s="4" t="inlineStr">
        <is>
          <t>Pass</t>
        </is>
      </c>
      <c r="D1" s="4" t="inlineStr">
        <is>
          <t>Fail</t>
        </is>
      </c>
      <c r="E1" s="4" t="inlineStr">
        <is>
          <t>Blocked</t>
        </is>
      </c>
      <c r="F1" s="4" t="inlineStr">
        <is>
          <t>N/A</t>
        </is>
      </c>
      <c r="G1" s="4" t="inlineStr">
        <is>
          <t>Blank</t>
        </is>
      </c>
    </row>
    <row r="2">
      <c r="A2" t="inlineStr">
        <is>
          <t>1. Installation</t>
        </is>
      </c>
      <c r="B2">
        <f>COUNTIF(Checklist!A:A,A2)</f>
        <v/>
      </c>
      <c r="C2">
        <f>COUNTIFS(Checklist!A:A,A2,Checklist!E:E,"Pass")</f>
        <v/>
      </c>
      <c r="D2">
        <f>COUNTIFS(Checklist!A:A,A2,Checklist!E:E,"Fail")</f>
        <v/>
      </c>
      <c r="E2">
        <f>COUNTIFS(Checklist!A:A,A2,Checklist!E:E,"Blocked")</f>
        <v/>
      </c>
      <c r="F2">
        <f>COUNTIFS(Checklist!A:A,A2,Checklist!E:E,"N/A")</f>
        <v/>
      </c>
      <c r="G2">
        <f>COUNTIFS(Checklist!A:A,A2,Checklist!E:E,"")</f>
        <v/>
      </c>
    </row>
    <row r="3">
      <c r="A3" t="inlineStr">
        <is>
          <t>2. Onboarding</t>
        </is>
      </c>
      <c r="B3">
        <f>COUNTIF(Checklist!A:A,A3)</f>
        <v/>
      </c>
      <c r="C3">
        <f>COUNTIFS(Checklist!A:A,A3,Checklist!E:E,"Pass")</f>
        <v/>
      </c>
      <c r="D3">
        <f>COUNTIFS(Checklist!A:A,A3,Checklist!E:E,"Fail")</f>
        <v/>
      </c>
      <c r="E3">
        <f>COUNTIFS(Checklist!A:A,A3,Checklist!E:E,"Blocked")</f>
        <v/>
      </c>
      <c r="F3">
        <f>COUNTIFS(Checklist!A:A,A3,Checklist!E:E,"N/A")</f>
        <v/>
      </c>
      <c r="G3">
        <f>COUNTIFS(Checklist!A:A,A3,Checklist!E:E,"")</f>
        <v/>
      </c>
    </row>
    <row r="4">
      <c r="A4" t="inlineStr">
        <is>
          <t>3. Wallet Creation</t>
        </is>
      </c>
      <c r="B4">
        <f>COUNTIF(Checklist!A:A,A4)</f>
        <v/>
      </c>
      <c r="C4">
        <f>COUNTIFS(Checklist!A:A,A4,Checklist!E:E,"Pass")</f>
        <v/>
      </c>
      <c r="D4">
        <f>COUNTIFS(Checklist!A:A,A4,Checklist!E:E,"Fail")</f>
        <v/>
      </c>
      <c r="E4">
        <f>COUNTIFS(Checklist!A:A,A4,Checklist!E:E,"Blocked")</f>
        <v/>
      </c>
      <c r="F4">
        <f>COUNTIFS(Checklist!A:A,A4,Checklist!E:E,"N/A")</f>
        <v/>
      </c>
      <c r="G4">
        <f>COUNTIFS(Checklist!A:A,A4,Checklist!E:E,"")</f>
        <v/>
      </c>
    </row>
    <row r="5">
      <c r="A5" t="inlineStr">
        <is>
          <t>4. Wallet Import</t>
        </is>
      </c>
      <c r="B5">
        <f>COUNTIF(Checklist!A:A,A5)</f>
        <v/>
      </c>
      <c r="C5">
        <f>COUNTIFS(Checklist!A:A,A5,Checklist!E:E,"Pass")</f>
        <v/>
      </c>
      <c r="D5">
        <f>COUNTIFS(Checklist!A:A,A5,Checklist!E:E,"Fail")</f>
        <v/>
      </c>
      <c r="E5">
        <f>COUNTIFS(Checklist!A:A,A5,Checklist!E:E,"Blocked")</f>
        <v/>
      </c>
      <c r="F5">
        <f>COUNTIFS(Checklist!A:A,A5,Checklist!E:E,"N/A")</f>
        <v/>
      </c>
      <c r="G5">
        <f>COUNTIFS(Checklist!A:A,A5,Checklist!E:E,"")</f>
        <v/>
      </c>
    </row>
    <row r="6">
      <c r="A6" t="inlineStr">
        <is>
          <t>5. Portfolio</t>
        </is>
      </c>
      <c r="B6">
        <f>COUNTIF(Checklist!A:A,A6)</f>
        <v/>
      </c>
      <c r="C6">
        <f>COUNTIFS(Checklist!A:A,A6,Checklist!E:E,"Pass")</f>
        <v/>
      </c>
      <c r="D6">
        <f>COUNTIFS(Checklist!A:A,A6,Checklist!E:E,"Fail")</f>
        <v/>
      </c>
      <c r="E6">
        <f>COUNTIFS(Checklist!A:A,A6,Checklist!E:E,"Blocked")</f>
        <v/>
      </c>
      <c r="F6">
        <f>COUNTIFS(Checklist!A:A,A6,Checklist!E:E,"N/A")</f>
        <v/>
      </c>
      <c r="G6">
        <f>COUNTIFS(Checklist!A:A,A6,Checklist!E:E,"")</f>
        <v/>
      </c>
    </row>
    <row r="7">
      <c r="A7" t="inlineStr">
        <is>
          <t>6. Asset Details</t>
        </is>
      </c>
      <c r="B7">
        <f>COUNTIF(Checklist!A:A,A7)</f>
        <v/>
      </c>
      <c r="C7">
        <f>COUNTIFS(Checklist!A:A,A7,Checklist!E:E,"Pass")</f>
        <v/>
      </c>
      <c r="D7">
        <f>COUNTIFS(Checklist!A:A,A7,Checklist!E:E,"Fail")</f>
        <v/>
      </c>
      <c r="E7">
        <f>COUNTIFS(Checklist!A:A,A7,Checklist!E:E,"Blocked")</f>
        <v/>
      </c>
      <c r="F7">
        <f>COUNTIFS(Checklist!A:A,A7,Checklist!E:E,"N/A")</f>
        <v/>
      </c>
      <c r="G7">
        <f>COUNTIFS(Checklist!A:A,A7,Checklist!E:E,"")</f>
        <v/>
      </c>
    </row>
    <row r="8">
      <c r="A8" t="inlineStr">
        <is>
          <t>7. Send</t>
        </is>
      </c>
      <c r="B8">
        <f>COUNTIF(Checklist!A:A,A8)</f>
        <v/>
      </c>
      <c r="C8">
        <f>COUNTIFS(Checklist!A:A,A8,Checklist!E:E,"Pass")</f>
        <v/>
      </c>
      <c r="D8">
        <f>COUNTIFS(Checklist!A:A,A8,Checklist!E:E,"Fail")</f>
        <v/>
      </c>
      <c r="E8">
        <f>COUNTIFS(Checklist!A:A,A8,Checklist!E:E,"Blocked")</f>
        <v/>
      </c>
      <c r="F8">
        <f>COUNTIFS(Checklist!A:A,A8,Checklist!E:E,"N/A")</f>
        <v/>
      </c>
      <c r="G8">
        <f>COUNTIFS(Checklist!A:A,A8,Checklist!E:E,"")</f>
        <v/>
      </c>
    </row>
    <row r="9">
      <c r="A9" t="inlineStr">
        <is>
          <t>8. Receive</t>
        </is>
      </c>
      <c r="B9">
        <f>COUNTIF(Checklist!A:A,A9)</f>
        <v/>
      </c>
      <c r="C9">
        <f>COUNTIFS(Checklist!A:A,A9,Checklist!E:E,"Pass")</f>
        <v/>
      </c>
      <c r="D9">
        <f>COUNTIFS(Checklist!A:A,A9,Checklist!E:E,"Fail")</f>
        <v/>
      </c>
      <c r="E9">
        <f>COUNTIFS(Checklist!A:A,A9,Checklist!E:E,"Blocked")</f>
        <v/>
      </c>
      <c r="F9">
        <f>COUNTIFS(Checklist!A:A,A9,Checklist!E:E,"N/A")</f>
        <v/>
      </c>
      <c r="G9">
        <f>COUNTIFS(Checklist!A:A,A9,Checklist!E:E,"")</f>
        <v/>
      </c>
    </row>
    <row r="10">
      <c r="A10" t="inlineStr">
        <is>
          <t>9. QR Scanner</t>
        </is>
      </c>
      <c r="B10">
        <f>COUNTIF(Checklist!A:A,A10)</f>
        <v/>
      </c>
      <c r="C10">
        <f>COUNTIFS(Checklist!A:A,A10,Checklist!E:E,"Pass")</f>
        <v/>
      </c>
      <c r="D10">
        <f>COUNTIFS(Checklist!A:A,A10,Checklist!E:E,"Fail")</f>
        <v/>
      </c>
      <c r="E10">
        <f>COUNTIFS(Checklist!A:A,A10,Checklist!E:E,"Blocked")</f>
        <v/>
      </c>
      <c r="F10">
        <f>COUNTIFS(Checklist!A:A,A10,Checklist!E:E,"N/A")</f>
        <v/>
      </c>
      <c r="G10">
        <f>COUNTIFS(Checklist!A:A,A10,Checklist!E:E,"")</f>
        <v/>
      </c>
    </row>
    <row r="11">
      <c r="A11" t="inlineStr">
        <is>
          <t>10. Buy</t>
        </is>
      </c>
      <c r="B11">
        <f>COUNTIF(Checklist!A:A,A11)</f>
        <v/>
      </c>
      <c r="C11">
        <f>COUNTIFS(Checklist!A:A,A11,Checklist!E:E,"Pass")</f>
        <v/>
      </c>
      <c r="D11">
        <f>COUNTIFS(Checklist!A:A,A11,Checklist!E:E,"Fail")</f>
        <v/>
      </c>
      <c r="E11">
        <f>COUNTIFS(Checklist!A:A,A11,Checklist!E:E,"Blocked")</f>
        <v/>
      </c>
      <c r="F11">
        <f>COUNTIFS(Checklist!A:A,A11,Checklist!E:E,"N/A")</f>
        <v/>
      </c>
      <c r="G11">
        <f>COUNTIFS(Checklist!A:A,A11,Checklist!E:E,"")</f>
        <v/>
      </c>
    </row>
    <row r="12">
      <c r="A12" t="inlineStr">
        <is>
          <t>11. Sell</t>
        </is>
      </c>
      <c r="B12">
        <f>COUNTIF(Checklist!A:A,A12)</f>
        <v/>
      </c>
      <c r="C12">
        <f>COUNTIFS(Checklist!A:A,A12,Checklist!E:E,"Pass")</f>
        <v/>
      </c>
      <c r="D12">
        <f>COUNTIFS(Checklist!A:A,A12,Checklist!E:E,"Fail")</f>
        <v/>
      </c>
      <c r="E12">
        <f>COUNTIFS(Checklist!A:A,A12,Checklist!E:E,"Blocked")</f>
        <v/>
      </c>
      <c r="F12">
        <f>COUNTIFS(Checklist!A:A,A12,Checklist!E:E,"N/A")</f>
        <v/>
      </c>
      <c r="G12">
        <f>COUNTIFS(Checklist!A:A,A12,Checklist!E:E,"")</f>
        <v/>
      </c>
    </row>
    <row r="13">
      <c r="A13" t="inlineStr">
        <is>
          <t>12. Swap</t>
        </is>
      </c>
      <c r="B13">
        <f>COUNTIF(Checklist!A:A,A13)</f>
        <v/>
      </c>
      <c r="C13">
        <f>COUNTIFS(Checklist!A:A,A13,Checklist!E:E,"Pass")</f>
        <v/>
      </c>
      <c r="D13">
        <f>COUNTIFS(Checklist!A:A,A13,Checklist!E:E,"Fail")</f>
        <v/>
      </c>
      <c r="E13">
        <f>COUNTIFS(Checklist!A:A,A13,Checklist!E:E,"Blocked")</f>
        <v/>
      </c>
      <c r="F13">
        <f>COUNTIFS(Checklist!A:A,A13,Checklist!E:E,"N/A")</f>
        <v/>
      </c>
      <c r="G13">
        <f>COUNTIFS(Checklist!A:A,A13,Checklist!E:E,"")</f>
        <v/>
      </c>
    </row>
    <row r="14">
      <c r="A14" t="inlineStr">
        <is>
          <t>13. Bridge</t>
        </is>
      </c>
      <c r="B14">
        <f>COUNTIF(Checklist!A:A,A14)</f>
        <v/>
      </c>
      <c r="C14">
        <f>COUNTIFS(Checklist!A:A,A14,Checklist!E:E,"Pass")</f>
        <v/>
      </c>
      <c r="D14">
        <f>COUNTIFS(Checklist!A:A,A14,Checklist!E:E,"Fail")</f>
        <v/>
      </c>
      <c r="E14">
        <f>COUNTIFS(Checklist!A:A,A14,Checklist!E:E,"Blocked")</f>
        <v/>
      </c>
      <c r="F14">
        <f>COUNTIFS(Checklist!A:A,A14,Checklist!E:E,"N/A")</f>
        <v/>
      </c>
      <c r="G14">
        <f>COUNTIFS(Checklist!A:A,A14,Checklist!E:E,"")</f>
        <v/>
      </c>
    </row>
    <row r="15">
      <c r="A15" t="inlineStr">
        <is>
          <t>14. Stake</t>
        </is>
      </c>
      <c r="B15">
        <f>COUNTIF(Checklist!A:A,A15)</f>
        <v/>
      </c>
      <c r="C15">
        <f>COUNTIFS(Checklist!A:A,A15,Checklist!E:E,"Pass")</f>
        <v/>
      </c>
      <c r="D15">
        <f>COUNTIFS(Checklist!A:A,A15,Checklist!E:E,"Fail")</f>
        <v/>
      </c>
      <c r="E15">
        <f>COUNTIFS(Checklist!A:A,A15,Checklist!E:E,"Blocked")</f>
        <v/>
      </c>
      <c r="F15">
        <f>COUNTIFS(Checklist!A:A,A15,Checklist!E:E,"N/A")</f>
        <v/>
      </c>
      <c r="G15">
        <f>COUNTIFS(Checklist!A:A,A15,Checklist!E:E,"")</f>
        <v/>
      </c>
    </row>
    <row r="16">
      <c r="A16" t="inlineStr">
        <is>
          <t>15. Security Center</t>
        </is>
      </c>
      <c r="B16">
        <f>COUNTIF(Checklist!A:A,A16)</f>
        <v/>
      </c>
      <c r="C16">
        <f>COUNTIFS(Checklist!A:A,A16,Checklist!E:E,"Pass")</f>
        <v/>
      </c>
      <c r="D16">
        <f>COUNTIFS(Checklist!A:A,A16,Checklist!E:E,"Fail")</f>
        <v/>
      </c>
      <c r="E16">
        <f>COUNTIFS(Checklist!A:A,A16,Checklist!E:E,"Blocked")</f>
        <v/>
      </c>
      <c r="F16">
        <f>COUNTIFS(Checklist!A:A,A16,Checklist!E:E,"N/A")</f>
        <v/>
      </c>
      <c r="G16">
        <f>COUNTIFS(Checklist!A:A,A16,Checklist!E:E,"")</f>
        <v/>
      </c>
    </row>
    <row r="17">
      <c r="A17" t="inlineStr">
        <is>
          <t>16. Recovery Phrase</t>
        </is>
      </c>
      <c r="B17">
        <f>COUNTIF(Checklist!A:A,A17)</f>
        <v/>
      </c>
      <c r="C17">
        <f>COUNTIFS(Checklist!A:A,A17,Checklist!E:E,"Pass")</f>
        <v/>
      </c>
      <c r="D17">
        <f>COUNTIFS(Checklist!A:A,A17,Checklist!E:E,"Fail")</f>
        <v/>
      </c>
      <c r="E17">
        <f>COUNTIFS(Checklist!A:A,A17,Checklist!E:E,"Blocked")</f>
        <v/>
      </c>
      <c r="F17">
        <f>COUNTIFS(Checklist!A:A,A17,Checklist!E:E,"N/A")</f>
        <v/>
      </c>
      <c r="G17">
        <f>COUNTIFS(Checklist!A:A,A17,Checklist!E:E,"")</f>
        <v/>
      </c>
    </row>
    <row r="18">
      <c r="A18" t="inlineStr">
        <is>
          <t>17. Biometrics</t>
        </is>
      </c>
      <c r="B18">
        <f>COUNTIF(Checklist!A:A,A18)</f>
        <v/>
      </c>
      <c r="C18">
        <f>COUNTIFS(Checklist!A:A,A18,Checklist!E:E,"Pass")</f>
        <v/>
      </c>
      <c r="D18">
        <f>COUNTIFS(Checklist!A:A,A18,Checklist!E:E,"Fail")</f>
        <v/>
      </c>
      <c r="E18">
        <f>COUNTIFS(Checklist!A:A,A18,Checklist!E:E,"Blocked")</f>
        <v/>
      </c>
      <c r="F18">
        <f>COUNTIFS(Checklist!A:A,A18,Checklist!E:E,"N/A")</f>
        <v/>
      </c>
      <c r="G18">
        <f>COUNTIFS(Checklist!A:A,A18,Checklist!E:E,"")</f>
        <v/>
      </c>
    </row>
    <row r="19">
      <c r="A19" t="inlineStr">
        <is>
          <t>18. PIN</t>
        </is>
      </c>
      <c r="B19">
        <f>COUNTIF(Checklist!A:A,A19)</f>
        <v/>
      </c>
      <c r="C19">
        <f>COUNTIFS(Checklist!A:A,A19,Checklist!E:E,"Pass")</f>
        <v/>
      </c>
      <c r="D19">
        <f>COUNTIFS(Checklist!A:A,A19,Checklist!E:E,"Fail")</f>
        <v/>
      </c>
      <c r="E19">
        <f>COUNTIFS(Checklist!A:A,A19,Checklist!E:E,"Blocked")</f>
        <v/>
      </c>
      <c r="F19">
        <f>COUNTIFS(Checklist!A:A,A19,Checklist!E:E,"N/A")</f>
        <v/>
      </c>
      <c r="G19">
        <f>COUNTIFS(Checklist!A:A,A19,Checklist!E:E,"")</f>
        <v/>
      </c>
    </row>
    <row r="20">
      <c r="A20" t="inlineStr">
        <is>
          <t>19. Settings</t>
        </is>
      </c>
      <c r="B20">
        <f>COUNTIF(Checklist!A:A,A20)</f>
        <v/>
      </c>
      <c r="C20">
        <f>COUNTIFS(Checklist!A:A,A20,Checklist!E:E,"Pass")</f>
        <v/>
      </c>
      <c r="D20">
        <f>COUNTIFS(Checklist!A:A,A20,Checklist!E:E,"Fail")</f>
        <v/>
      </c>
      <c r="E20">
        <f>COUNTIFS(Checklist!A:A,A20,Checklist!E:E,"Blocked")</f>
        <v/>
      </c>
      <c r="F20">
        <f>COUNTIFS(Checklist!A:A,A20,Checklist!E:E,"N/A")</f>
        <v/>
      </c>
      <c r="G20">
        <f>COUNTIFS(Checklist!A:A,A20,Checklist!E:E,"")</f>
        <v/>
      </c>
    </row>
    <row r="21">
      <c r="A21" t="inlineStr">
        <is>
          <t>20. Notifications</t>
        </is>
      </c>
      <c r="B21">
        <f>COUNTIF(Checklist!A:A,A21)</f>
        <v/>
      </c>
      <c r="C21">
        <f>COUNTIFS(Checklist!A:A,A21,Checklist!E:E,"Pass")</f>
        <v/>
      </c>
      <c r="D21">
        <f>COUNTIFS(Checklist!A:A,A21,Checklist!E:E,"Fail")</f>
        <v/>
      </c>
      <c r="E21">
        <f>COUNTIFS(Checklist!A:A,A21,Checklist!E:E,"Blocked")</f>
        <v/>
      </c>
      <c r="F21">
        <f>COUNTIFS(Checklist!A:A,A21,Checklist!E:E,"N/A")</f>
        <v/>
      </c>
      <c r="G21">
        <f>COUNTIFS(Checklist!A:A,A21,Checklist!E:E,"")</f>
        <v/>
      </c>
    </row>
    <row r="22">
      <c r="A22" t="inlineStr">
        <is>
          <t>21. Web3 Connections</t>
        </is>
      </c>
      <c r="B22">
        <f>COUNTIF(Checklist!A:A,A22)</f>
        <v/>
      </c>
      <c r="C22">
        <f>COUNTIFS(Checklist!A:A,A22,Checklist!E:E,"Pass")</f>
        <v/>
      </c>
      <c r="D22">
        <f>COUNTIFS(Checklist!A:A,A22,Checklist!E:E,"Fail")</f>
        <v/>
      </c>
      <c r="E22">
        <f>COUNTIFS(Checklist!A:A,A22,Checklist!E:E,"Blocked")</f>
        <v/>
      </c>
      <c r="F22">
        <f>COUNTIFS(Checklist!A:A,A22,Checklist!E:E,"N/A")</f>
        <v/>
      </c>
      <c r="G22">
        <f>COUNTIFS(Checklist!A:A,A22,Checklist!E:E,"")</f>
        <v/>
      </c>
    </row>
    <row r="23">
      <c r="A23" t="inlineStr">
        <is>
          <t>22. Offline Mode</t>
        </is>
      </c>
      <c r="B23">
        <f>COUNTIF(Checklist!A:A,A23)</f>
        <v/>
      </c>
      <c r="C23">
        <f>COUNTIFS(Checklist!A:A,A23,Checklist!E:E,"Pass")</f>
        <v/>
      </c>
      <c r="D23">
        <f>COUNTIFS(Checklist!A:A,A23,Checklist!E:E,"Fail")</f>
        <v/>
      </c>
      <c r="E23">
        <f>COUNTIFS(Checklist!A:A,A23,Checklist!E:E,"Blocked")</f>
        <v/>
      </c>
      <c r="F23">
        <f>COUNTIFS(Checklist!A:A,A23,Checklist!E:E,"N/A")</f>
        <v/>
      </c>
      <c r="G23">
        <f>COUNTIFS(Checklist!A:A,A23,Checklist!E:E,"")</f>
        <v/>
      </c>
    </row>
    <row r="24">
      <c r="A24" t="inlineStr">
        <is>
          <t>23. Performance</t>
        </is>
      </c>
      <c r="B24">
        <f>COUNTIF(Checklist!A:A,A24)</f>
        <v/>
      </c>
      <c r="C24">
        <f>COUNTIFS(Checklist!A:A,A24,Checklist!E:E,"Pass")</f>
        <v/>
      </c>
      <c r="D24">
        <f>COUNTIFS(Checklist!A:A,A24,Checklist!E:E,"Fail")</f>
        <v/>
      </c>
      <c r="E24">
        <f>COUNTIFS(Checklist!A:A,A24,Checklist!E:E,"Blocked")</f>
        <v/>
      </c>
      <c r="F24">
        <f>COUNTIFS(Checklist!A:A,A24,Checklist!E:E,"N/A")</f>
        <v/>
      </c>
      <c r="G24">
        <f>COUNTIFS(Checklist!A:A,A24,Checklist!E:E,"")</f>
        <v/>
      </c>
    </row>
    <row r="25">
      <c r="A25" t="inlineStr">
        <is>
          <t>24. Accessibility</t>
        </is>
      </c>
      <c r="B25">
        <f>COUNTIF(Checklist!A:A,A25)</f>
        <v/>
      </c>
      <c r="C25">
        <f>COUNTIFS(Checklist!A:A,A25,Checklist!E:E,"Pass")</f>
        <v/>
      </c>
      <c r="D25">
        <f>COUNTIFS(Checklist!A:A,A25,Checklist!E:E,"Fail")</f>
        <v/>
      </c>
      <c r="E25">
        <f>COUNTIFS(Checklist!A:A,A25,Checklist!E:E,"Blocked")</f>
        <v/>
      </c>
      <c r="F25">
        <f>COUNTIFS(Checklist!A:A,A25,Checklist!E:E,"N/A")</f>
        <v/>
      </c>
      <c r="G25">
        <f>COUNTIFS(Checklist!A:A,A25,Checklist!E:E,"")</f>
        <v/>
      </c>
    </row>
    <row r="26">
      <c r="A26" t="inlineStr">
        <is>
          <t>25. Crash Recovery</t>
        </is>
      </c>
      <c r="B26">
        <f>COUNTIF(Checklist!A:A,A26)</f>
        <v/>
      </c>
      <c r="C26">
        <f>COUNTIFS(Checklist!A:A,A26,Checklist!E:E,"Pass")</f>
        <v/>
      </c>
      <c r="D26">
        <f>COUNTIFS(Checklist!A:A,A26,Checklist!E:E,"Fail")</f>
        <v/>
      </c>
      <c r="E26">
        <f>COUNTIFS(Checklist!A:A,A26,Checklist!E:E,"Blocked")</f>
        <v/>
      </c>
      <c r="F26">
        <f>COUNTIFS(Checklist!A:A,A26,Checklist!E:E,"N/A")</f>
        <v/>
      </c>
      <c r="G26">
        <f>COUNTIFS(Checklist!A:A,A26,Checklist!E:E,"")</f>
        <v/>
      </c>
    </row>
    <row r="27">
      <c r="A27" s="5" t="inlineStr">
        <is>
          <t>TOTAL</t>
        </is>
      </c>
      <c r="B27" s="5">
        <f>SUM(B2:B26)</f>
        <v/>
      </c>
      <c r="C27" s="5">
        <f>SUM(C2:C26)</f>
        <v/>
      </c>
      <c r="D27" s="5">
        <f>SUM(D2:D26)</f>
        <v/>
      </c>
      <c r="E27" s="5">
        <f>SUM(E2:E26)</f>
        <v/>
      </c>
      <c r="F27" s="5">
        <f>SUM(F2:F26)</f>
        <v/>
      </c>
      <c r="G27" s="5">
        <f>SUM(G2:G26)</f>
        <v/>
      </c>
    </row>
    <row r="29">
      <c r="A29" t="inlineStr">
        <is>
          <t>Pass/Fail values allowed: Pass, Fail, Blocked,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2026-07-31T22:50:11Z</dcterms:created>
  <dcterms:modified xsi:type="dcterms:W3CDTF">2026-07-31T22:50:11Z</dcterms:modified>
</cp:coreProperties>
</file>